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Agreement" sheetId="3" state="visible" r:id="rId3"/>
  </sheets>
  <definedNames>
    <definedName name="_xlnm._FilterDatabase" localSheetId="1" hidden="1">'Review'!$A$1:$Y$141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sz val="11"/>
    </font>
    <font>
      <b val="1"/>
      <sz val="11"/>
    </font>
    <font>
      <b val="1"/>
      <color rgb="FFFFFFFF"/>
    </font>
    <font>
      <b val="1"/>
    </font>
    <font/>
  </fonts>
  <fills count="4">
    <fill>
      <patternFill/>
    </fill>
    <fill>
      <patternFill patternType="gray125"/>
    </fill>
    <fill>
      <patternFill patternType="solid">
        <fgColor rgb="FF1F3864"/>
      </patternFill>
    </fill>
    <fill>
      <patternFill patternType="solid">
        <fgColor rgb="FF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xf>
    <xf numFmtId="9" fontId="6" fillId="0" borderId="0" applyAlignment="1" pivotButton="0" quotePrefix="0" xfId="0">
      <alignment vertical="top"/>
    </xf>
    <xf numFmtId="0" fontId="5" fillId="0" borderId="0" applyAlignment="1" pivotButton="0" quotePrefix="0" xfId="0">
      <alignment vertical="top"/>
    </xf>
    <xf numFmtId="2" fontId="6" fillId="0" borderId="0" applyAlignment="1" pivotButton="0" quotePrefix="0" xfId="0">
      <alignment vertical="top"/>
    </xf>
  </cellXfs>
  <cellStyles count="1">
    <cellStyle name="Normal" xfId="0" builtinId="0" hidden="0"/>
  </cellStyles>
  <dxfs count="3">
    <dxf>
      <fill>
        <patternFill patternType="solid">
          <fgColor rgb="FFC6EFCE"/>
        </patternFill>
      </fill>
    </dxf>
    <dxf>
      <fill>
        <patternFill patternType="solid">
          <fgColor rgb="FFFFC7CE"/>
        </patternFill>
      </fill>
    </dxf>
    <dxf>
      <fill>
        <patternFill patternType="solid">
          <fgColor rgb="FF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Pilot v2 QA review (pilot_v2)</t>
        </is>
      </c>
    </row>
    <row r="2">
      <c r="A2" s="2" t="n"/>
    </row>
    <row r="3">
      <c r="A3" s="3" t="inlineStr">
        <is>
          <t>What to do</t>
        </is>
      </c>
    </row>
    <row r="4">
      <c r="A4" s="2" t="inlineStr">
        <is>
          <t>1. Go to the Review sheet. Rows marked priority = TRUE (top 40, highlighted) are a stratified sample: 10 repaired pairs that passed, 4 rejected pairs (2 of them repaired) and 26 other passed pairs across question types, difficulty and the new targeted chunks. Review those first; the other 100 rows are optional.</t>
        </is>
      </c>
    </row>
    <row r="5">
      <c r="A5" s="2" t="inlineStr">
        <is>
          <t>2. For each row, read the question, answer and evidence, then pick accept or reject in human_verdict (yellow column, dropdown).</t>
        </is>
      </c>
    </row>
    <row r="6">
      <c r="A6" s="2" t="inlineStr">
        <is>
          <t>3. If you reject, pick a reject_category (dropdown) and add a few words in human_notes.</t>
        </is>
      </c>
    </row>
    <row r="7">
      <c r="A7" s="2" t="inlineStr">
        <is>
          <t>4. The Agreement sheet updates automatically: your accept rate, how often you agree with the automatic filters, and your accept rate on repaired pairs.</t>
        </is>
      </c>
    </row>
    <row r="8">
      <c r="A8" s="2" t="n"/>
    </row>
    <row r="9">
      <c r="A9" s="3" t="inlineStr">
        <is>
          <t>What is new in v2</t>
        </is>
      </c>
    </row>
    <row r="10">
      <c r="A10" s="2" t="inlineStr">
        <is>
          <t>repaired = TRUE: the first version failed grounding or standalone and was rewritten once by the generator, then re-judged. original_question / original_answer / repair_reason show the version that failed. The same judge passed the rewrite, so repaired pairs deserve a careful look.</t>
        </is>
      </c>
    </row>
    <row r="11">
      <c r="A11" s="2" t="inlineStr">
        <is>
          <t>answer no longer contains the citation; it is in the citation column (title and evidence pages). Judge the answer text only.</t>
        </is>
      </c>
    </row>
    <row r="12">
      <c r="A12" s="2" t="inlineStr">
        <is>
          <t>Paraphrases were checked and regenerated individually. If a paraphrase asks something different, note it in human_notes (the pair can still be accepted).</t>
        </is>
      </c>
    </row>
    <row r="13">
      <c r="A13" s="2" t="inlineStr">
        <is>
          <t>Answer length rule: 1-5 sentences for factual/definition, 2-5 for explanation/application. All rejected rows in this run failed only that rule.</t>
        </is>
      </c>
    </row>
    <row r="14">
      <c r="A14" s="2" t="n"/>
    </row>
    <row r="15">
      <c r="A15" s="3" t="inlineStr">
        <is>
          <t>Accept a pair only if all three are true</t>
        </is>
      </c>
    </row>
    <row r="16">
      <c r="A16" s="2" t="inlineStr">
        <is>
          <t>Correct: the answer is fully supported by the evidence, with nothing added.</t>
        </is>
      </c>
    </row>
    <row r="17">
      <c r="A17" s="2" t="inlineStr">
        <is>
          <t>Standalone: the question makes sense to someone who has never seen the source.</t>
        </is>
      </c>
    </row>
    <row r="18">
      <c r="A18" s="2" t="inlineStr">
        <is>
          <t>Worth learning: it is about the domain (responsible AI, higher education), not trivia or study methodology.</t>
        </is>
      </c>
    </row>
    <row r="19">
      <c r="A19" s="2" t="n"/>
    </row>
    <row r="20">
      <c r="A20" s="3" t="inlineStr">
        <is>
          <t>Reject categories</t>
        </is>
      </c>
    </row>
    <row r="21">
      <c r="A21" s="2" t="inlineStr">
        <is>
          <t>incorrect — answer contradicts or misreads the evidence</t>
        </is>
      </c>
    </row>
    <row r="22">
      <c r="A22" s="2" t="inlineStr">
        <is>
          <t>unsupported — answer adds claims the evidence does not make</t>
        </is>
      </c>
    </row>
    <row r="23">
      <c r="A23" s="2" t="inlineStr">
        <is>
          <t>not_standalone — question depends on unseen context ("the study", "this chapter")</t>
        </is>
      </c>
    </row>
    <row r="24">
      <c r="A24" s="2" t="inlineStr">
        <is>
          <t>low_value — trivial, methodology, bibliographic or appendix detail</t>
        </is>
      </c>
    </row>
    <row r="25">
      <c r="A25" s="2" t="inlineStr">
        <is>
          <t>unclear — question or answer is ambiguous or badly worded</t>
        </is>
      </c>
    </row>
    <row r="26">
      <c r="A26" s="2" t="inlineStr">
        <is>
          <t>other — explain in human_notes</t>
        </is>
      </c>
    </row>
    <row r="27">
      <c r="A27" s="2" t="n"/>
    </row>
    <row r="28">
      <c r="A28" s="3" t="inlineStr">
        <is>
          <t>When done</t>
        </is>
      </c>
    </row>
    <row r="29">
      <c r="A29" s="2" t="inlineStr">
        <is>
          <t>Save this file (keep .xlsx), copy it into the project as data/qa_pairs/pilot_review_v2_reviewed.xlsx, and tell Claude Code to merge human_verdict, reject_category and human_notes by qa_id. Before saving, check that the Agreement sheet shows your rows as reviewed.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4" customWidth="1" min="3" max="3"/>
    <col width="18" customWidth="1" min="4" max="4"/>
    <col width="30" customWidth="1" min="5" max="5"/>
    <col width="45" customWidth="1" min="6" max="6"/>
    <col width="55" customWidth="1" min="7" max="7"/>
    <col width="28" customWidth="1" min="8" max="8"/>
    <col width="60" customWidth="1" min="9" max="9"/>
    <col width="10" customWidth="1" min="10" max="10"/>
    <col width="20" customWidth="1" min="11" max="11"/>
    <col width="10" customWidth="1" min="12" max="12"/>
    <col width="12" customWidth="1" min="13" max="13"/>
    <col width="10" customWidth="1" min="14" max="14"/>
    <col width="18" customWidth="1" min="15" max="15"/>
    <col width="10" customWidth="1" min="16" max="16"/>
    <col width="11" customWidth="1" min="17" max="17"/>
    <col width="45" customWidth="1" min="18" max="18"/>
    <col width="35" customWidth="1" min="19" max="19"/>
    <col width="35" customWidth="1" min="20" max="20"/>
    <col width="40" customWidth="1" min="21" max="21"/>
    <col width="45" customWidth="1" min="22" max="22"/>
    <col width="40" customWidth="1" min="23" max="23"/>
    <col width="22" customWidth="1" min="24" max="24"/>
    <col width="40" customWidth="1" min="25" max="25"/>
  </cols>
  <sheetData>
    <row r="1" ht="30" customHeight="1">
      <c r="A1" s="4" t="inlineStr">
        <is>
          <t>#</t>
        </is>
      </c>
      <c r="B1" s="4" t="inlineStr">
        <is>
          <t>priority</t>
        </is>
      </c>
      <c r="C1" s="4" t="inlineStr">
        <is>
          <t>human_verdict</t>
        </is>
      </c>
      <c r="D1" s="4" t="inlineStr">
        <is>
          <t>reject_category</t>
        </is>
      </c>
      <c r="E1" s="4" t="inlineStr">
        <is>
          <t>human_notes</t>
        </is>
      </c>
      <c r="F1" s="4" t="inlineStr">
        <is>
          <t>question</t>
        </is>
      </c>
      <c r="G1" s="4" t="inlineStr">
        <is>
          <t>answer</t>
        </is>
      </c>
      <c r="H1" s="4" t="inlineStr">
        <is>
          <t>citation</t>
        </is>
      </c>
      <c r="I1" s="4" t="inlineStr">
        <is>
          <t>evidence</t>
        </is>
      </c>
      <c r="J1" s="4" t="inlineStr">
        <is>
          <t>passed_filters</t>
        </is>
      </c>
      <c r="K1" s="4" t="inlineStr">
        <is>
          <t>reject_reason</t>
        </is>
      </c>
      <c r="L1" s="4" t="inlineStr">
        <is>
          <t>repaired</t>
        </is>
      </c>
      <c r="M1" s="4" t="inlineStr">
        <is>
          <t>q_type</t>
        </is>
      </c>
      <c r="N1" s="4" t="inlineStr">
        <is>
          <t>difficulty</t>
        </is>
      </c>
      <c r="O1" s="4" t="inlineStr">
        <is>
          <t>dimension</t>
        </is>
      </c>
      <c r="P1" s="4" t="inlineStr">
        <is>
          <t>grounding</t>
        </is>
      </c>
      <c r="Q1" s="4" t="inlineStr">
        <is>
          <t>standalone</t>
        </is>
      </c>
      <c r="R1" s="4" t="inlineStr">
        <is>
          <t>judge_rationale</t>
        </is>
      </c>
      <c r="S1" s="4" t="inlineStr">
        <is>
          <t>paraphrase_1</t>
        </is>
      </c>
      <c r="T1" s="4" t="inlineStr">
        <is>
          <t>paraphrase_2</t>
        </is>
      </c>
      <c r="U1" s="4" t="inlineStr">
        <is>
          <t>original_question</t>
        </is>
      </c>
      <c r="V1" s="4" t="inlineStr">
        <is>
          <t>original_answer</t>
        </is>
      </c>
      <c r="W1" s="4" t="inlineStr">
        <is>
          <t>repair_reason</t>
        </is>
      </c>
      <c r="X1" s="4" t="inlineStr">
        <is>
          <t>origin</t>
        </is>
      </c>
      <c r="Y1" s="4" t="inlineStr">
        <is>
          <t>qa_id</t>
        </is>
      </c>
    </row>
    <row r="2">
      <c r="A2" s="5" t="n">
        <v>1</v>
      </c>
      <c r="B2" s="5" t="b">
        <v>1</v>
      </c>
      <c r="C2" s="6" t="n"/>
      <c r="D2" s="6" t="n"/>
      <c r="E2" s="5" t="n"/>
      <c r="F2" s="5" t="inlineStr">
        <is>
          <t>A research team conducting a systematic review of generative AI in entrepreneurship education finds one paper that refers to "Artificial Intelligence" only in a broad sense without generative functionalities, and another paper on the algorithmic foundations of a prototype generative system that was published before 2022. How should each paper be treated for inclusion?</t>
        </is>
      </c>
      <c r="G2" s="5" t="inlineStr">
        <is>
          <t>Studies that referred to "Artificial Intelligence" in a broad or generic sense without involving generative functionalities were excluded. Earlier studies focused on algorithmic foundations, prototype generative systems, or theoretical frameworks directly relevant to the functionalities later embodied in generative tools were considered eligible for inclusion, particularly those published prior to 2022, before the public release of large-scale GAI platforms such as ChatGPT and DALL-E.</t>
        </is>
      </c>
      <c r="H2" s="5" t="inlineStr">
        <is>
          <t>Toward understanding the role of generative AI in entrepreneurship education: A systematic review, p. 3</t>
        </is>
      </c>
      <c r="I2" s="5" t="inlineStr">
        <is>
          <t>Specifically, studies were retained only if they demonstrated a clear conceptual or technical alignment with the core characteristics of GAI including the use of generative adversarial networks (GANs), LLMs, transformer-based architectures, or neural networks specifically designed for content generation. In contrast, studies that referred to "Artificial Intelligence" in a broad or generic sense without involving generative functionalities were excluded. … Earlier studies that focused on algorithmic foundations, prototype generative systems, or theoretical frameworks directly relevant to the functionalities later embodied in generative tools were considered eligible for inclusion particularly those published prior to 2022, before the public release of large-scale GAI platforms such as ChatGPT and DALL-E.</t>
        </is>
      </c>
      <c r="J2" s="5" t="b">
        <v>1</v>
      </c>
      <c r="K2" s="5" t="inlineStr"/>
      <c r="L2" s="5" t="b">
        <v>1</v>
      </c>
      <c r="M2" s="5" t="inlineStr">
        <is>
          <t>application</t>
        </is>
      </c>
      <c r="N2" s="5" t="inlineStr">
        <is>
          <t>hard</t>
        </is>
      </c>
      <c r="O2" s="5" t="inlineStr">
        <is>
          <t>general</t>
        </is>
      </c>
      <c r="P2" s="5" t="n">
        <v>5</v>
      </c>
      <c r="Q2" s="5" t="b">
        <v>1</v>
      </c>
      <c r="R2" s="5" t="inlineStr">
        <is>
          <t>Every statement in the answer is taken almost verbatim from the evidence: generic AI studies are excluded, and earlier studies on algorithmic foundations or prototype generative systems published before 2022 are eligible. | The question describes the review and both papers concretely, with no references to unseen context and no undefined acronyms.</t>
        </is>
      </c>
      <c r="S2" s="5" t="inlineStr">
        <is>
          <t>In a systematic review of generative AI in entrepreneurship education, what is the inclusion decision for a paper that uses "Artificial Intelligence" generically with no generative functionalities, and for a pre-2022 paper on the algorithmic foundations of a prototype generative system?</t>
        </is>
      </c>
      <c r="T2" s="5" t="inlineStr">
        <is>
          <t>Reviewers screening studies for a systematic review of generative AI in entrepreneurship education come across a generic "Artificial Intelligence" paper lacking generative functionalities and a pre-2022 paper on algorithmic foundations of a prototype generative system. How should each be handled for inclusion?</t>
        </is>
      </c>
      <c r="U2" s="5" t="inlineStr">
        <is>
          <t>A research team conducting a systematic review of generative AI in entrepreneurship education finds a paper that mentions "Artificial Intelligence" broadly and has no generative functionality, and another from 2020 on algorithmic foundations of a prototype generative system. How should each be treated for inclusion?</t>
        </is>
      </c>
      <c r="V2" s="5" t="inlineStr">
        <is>
          <t>The paper referring to "Artificial Intelligence" in a broad or generic sense without generative functionalities was excluded. The 2020 paper on algorithmic foundations or prototype generative systems directly relevant to functionalities later embodied in generative tools was considered eligible, even though it was published before the public release of platforms such as ChatGPT and DALL-E.</t>
        </is>
      </c>
      <c r="W2" s="5" t="inlineStr">
        <is>
          <t>grounding(3). Excluding the generic AI paper is directly stated. Saying the 2020 paper was eligible 'even though' it predated ChatGPT and DALL-E reframes the evidence, which says such earlier studies were eligible 'particularly' if published before 2022. The answer also assumes the paper is directly relevant to later generative functionalities, which the question does not state. The question describes a concrete hypothetical review scenario with no references to unseen text or undefined acronyms.</t>
        </is>
      </c>
      <c r="X2" s="5" t="inlineStr">
        <is>
          <t>pilot</t>
        </is>
      </c>
      <c r="Y2" s="5" t="inlineStr">
        <is>
          <t>toward-understanding-the-role-of-generative-ai:0005:q1</t>
        </is>
      </c>
    </row>
    <row r="3">
      <c r="A3" s="5" t="n">
        <v>2</v>
      </c>
      <c r="B3" s="5" t="b">
        <v>1</v>
      </c>
      <c r="C3" s="6" t="n"/>
      <c r="D3" s="6" t="n"/>
      <c r="E3" s="5" t="n"/>
      <c r="F3" s="5" t="inlineStr">
        <is>
          <t>Why is top placement in global university rankings described as not simply a matter of the 'cream rising to the top'?</t>
        </is>
      </c>
      <c r="G3" s="5" t="inlineStr">
        <is>
          <t>Top placement is described as not being about the cream rising to the top, but about the presence of a system in which the cream identifies itself as better and uses systemic processes to stay there. Rankings are also described as a question of sovereignty and control, where the balance of power, and therefore status and funding, rests in the hands of a small minority of majority white countries and institutions.</t>
        </is>
      </c>
      <c r="H3" s="5" t="inlineStr">
        <is>
          <t>Socially Responsible Higher Education, p. 96</t>
        </is>
      </c>
      <c r="I3" s="5" t="inlineStr">
        <is>
          <t>it is not about the cream rising to the top, but rather about the presence of a system in which the cream identifies itself as better and utilises systemic processes to stay there. … rankings are a question of sovereignty, of control, where the balance of power - and therefore status and funding - rests in the hands of a small minority of majority white countries and institutions.</t>
        </is>
      </c>
      <c r="J3" s="5" t="b">
        <v>1</v>
      </c>
      <c r="K3" s="5" t="inlineStr"/>
      <c r="L3" s="5" t="b">
        <v>1</v>
      </c>
      <c r="M3" s="5" t="inlineStr">
        <is>
          <t>explanation</t>
        </is>
      </c>
      <c r="N3" s="5" t="inlineStr">
        <is>
          <t>medium</t>
        </is>
      </c>
      <c r="O3" s="5" t="inlineStr">
        <is>
          <t>equity_accessibility</t>
        </is>
      </c>
      <c r="P3" s="5" t="n">
        <v>5</v>
      </c>
      <c r="Q3" s="5" t="b">
        <v>1</v>
      </c>
      <c r="R3" s="5" t="inlineStr">
        <is>
          <t>Both statements in the answer restate the evidence directly: the cream sustaining itself through systemic processes, and rankings as sovereignty and control held by a small minority of majority white countries and institutions. | The question names global university rankings and the specific 'cream rising to the top' phrasing, so it makes sense without the source. It contains no references to unseen context.</t>
        </is>
      </c>
      <c r="S3" s="5" t="inlineStr">
        <is>
          <t>What reason is given for saying that high ranking in global university rankings is not just merit rising to the top?</t>
        </is>
      </c>
      <c r="T3" s="5" t="inlineStr">
        <is>
          <t>How is it explained that top positions in global university rankings do not merely reflect the best institutions naturally rising?</t>
        </is>
      </c>
      <c r="U3" s="5" t="inlineStr">
        <is>
          <t>Why is top placement in global university rankings described as not simply a matter of the 'cream rising to the top'?</t>
        </is>
      </c>
      <c r="V3" s="5" t="inlineStr">
        <is>
          <t>Underlying structures create, maintain and often worsen social inequalities. Top ranking reflects a system in which the cream identifies itself as better and uses systemic processes to stay on top, rather than merit alone.</t>
        </is>
      </c>
      <c r="W3" s="5" t="inlineStr">
        <is>
          <t>grounding(3). The second sentence closely restates the evidence. The opening claim that underlying structures create, maintain and often worsen social inequalities does not appear in the quoted evidence. The question names its subject, global university rankings, and quotes the phrase being explained, so it can be understood without the source.</t>
        </is>
      </c>
      <c r="X3" s="5" t="inlineStr">
        <is>
          <t>pilot</t>
        </is>
      </c>
      <c r="Y3" s="5" t="inlineStr">
        <is>
          <t>budd-l-hall-rajesh-2021-socially-responsible:0055:q2</t>
        </is>
      </c>
    </row>
    <row r="4">
      <c r="A4" s="5" t="n">
        <v>3</v>
      </c>
      <c r="B4" s="5" t="b">
        <v>1</v>
      </c>
      <c r="C4" s="6" t="n"/>
      <c r="D4" s="6" t="n"/>
      <c r="E4" s="5" t="n"/>
      <c r="F4" s="5" t="inlineStr">
        <is>
          <t>What do research recommendations on GenAI in nursing education say is needed to determine the enduring effects of its integration?</t>
        </is>
      </c>
      <c r="G4" s="5" t="inlineStr">
        <is>
          <t>Research recommendations emphasise the need for longitudinal and outcome evaluation studies to determine the enduring effects of GenAI integration.</t>
        </is>
      </c>
      <c r="H4" s="5" t="inlineStr">
        <is>
          <t>Patterns, advances, and gaps in using ChatGPT and similar technologies in nursing education: A PAGER scoping review, p. 7</t>
        </is>
      </c>
      <c r="I4" s="5" t="inlineStr">
        <is>
          <t>research recommendations emphasise the need for longitudinal and outcome evaluation studies to determine the enduring effects of GenAI integration</t>
        </is>
      </c>
      <c r="J4" s="5" t="b">
        <v>1</v>
      </c>
      <c r="K4" s="5" t="inlineStr"/>
      <c r="L4" s="5" t="b">
        <v>1</v>
      </c>
      <c r="M4" s="5" t="inlineStr">
        <is>
          <t>factual</t>
        </is>
      </c>
      <c r="N4" s="5" t="inlineStr">
        <is>
          <t>easy</t>
        </is>
      </c>
      <c r="O4" s="5" t="inlineStr">
        <is>
          <t>monitoring_improvement</t>
        </is>
      </c>
      <c r="P4" s="5" t="n">
        <v>5</v>
      </c>
      <c r="Q4" s="5" t="b">
        <v>1</v>
      </c>
      <c r="R4" s="5" t="inlineStr">
        <is>
          <t>The answer restates the evidence almost verbatim: longitudinal and outcome evaluation studies are needed to determine the enduring effects of GenAI integration. It adds no unsupported claims. | The question identifies its subject by content (research recommendations on GenAI in nursing education) and does not point to an unseen text. GenAI is a widely recognised abbreviation.</t>
        </is>
      </c>
      <c r="S4" s="5" t="inlineStr">
        <is>
          <t>Which kinds of studies do research recommendations call for to establish the lasting effects of GenAI integration in nursing education?</t>
        </is>
      </c>
      <c r="T4" s="5" t="inlineStr">
        <is>
          <t>To learn the enduring effects of integrating GenAI into nursing education, what research is recommended?</t>
        </is>
      </c>
      <c r="U4" s="5" t="inlineStr">
        <is>
          <t>What do research recommendations on GenAI in nursing education say is needed to determine the enduring effects of its integration?</t>
        </is>
      </c>
      <c r="V4" s="5" t="inlineStr">
        <is>
          <t>Research recommendations emphasise the need for longitudinal and outcome evaluation studies to determine the enduring effects of GenAI integration. They single out its influence on students' development of ethical reasoning.</t>
        </is>
      </c>
      <c r="W4" s="5" t="inlineStr">
        <is>
          <t>grounding(3). The first sentence matches the evidence. The claim that the recommendations single out GenAI's influence on students' development of ethical reasoning does not appear in the evidence. The question names its topic directly (research recommendations on GenAI in nursing education) and does not refer to unseen context. GenAI is a widely understood term.</t>
        </is>
      </c>
      <c r="X4" s="5" t="inlineStr">
        <is>
          <t>pilot</t>
        </is>
      </c>
      <c r="Y4" s="5" t="inlineStr">
        <is>
          <t>patterns-advances-and-gaps-in-using-chatgpt-and:0013:q3</t>
        </is>
      </c>
    </row>
    <row r="5">
      <c r="A5" s="5" t="n">
        <v>4</v>
      </c>
      <c r="B5" s="5" t="b">
        <v>1</v>
      </c>
      <c r="C5" s="6" t="n"/>
      <c r="D5" s="6" t="n"/>
      <c r="E5" s="5" t="n"/>
      <c r="F5" s="5" t="inlineStr">
        <is>
          <t>What is MOOCRev, and what challenges does it target?</t>
        </is>
      </c>
      <c r="G5" s="5" t="inlineStr">
        <is>
          <t>MOOCRev is described as a dataset of over 1,250,000 course reviews and ratings, and, to the best of its creators' knowledge, the largest publicly accessible MOOC review dataset. It targets six challenges: thorough, research-based anonymisation to ensure user privacy and data integrity, dealing with class (rating) bias, addressing language diversity and platform-specific rating systems, processing emojis and emoticons, providing text weights, and tagging the reviews with Parts of Speech (POS).</t>
        </is>
      </c>
      <c r="H5" s="5" t="inlineStr">
        <is>
          <t>Artificial Intelligence in Education. Posters and Late Breaking Results, Workshops and Tutorials, Industry and Innovation Tracks, Practitioners, Doctoral Consortium and Blue Sky, p. 168</t>
        </is>
      </c>
      <c r="I5" s="5" t="inlineStr">
        <is>
          <t>The dataset encompasses many review characteristics (over 1,250,000 course reviews and ratings), making it, to the best of our knowledge, the largest publicly accessible MOOC review dataset. … MOOCRev targets the following challenges (1) thorough, research-based anonymisation of the data to ensure user privacy and data integrity, (2) dealing with class (rating) bias, (3) addressing language diversity and platform-specific rating systems, (4) processing emojis and emoticons, (5) providing text weights (6) and tagging the reviews with the corresponding Parts of Speech (POS).</t>
        </is>
      </c>
      <c r="J5" s="5" t="b">
        <v>1</v>
      </c>
      <c r="K5" s="5" t="inlineStr"/>
      <c r="L5" s="5" t="b">
        <v>1</v>
      </c>
      <c r="M5" s="5" t="inlineStr">
        <is>
          <t>definition</t>
        </is>
      </c>
      <c r="N5" s="5" t="inlineStr">
        <is>
          <t>medium</t>
        </is>
      </c>
      <c r="O5" s="5" t="inlineStr">
        <is>
          <t>general</t>
        </is>
      </c>
      <c r="P5" s="5" t="n">
        <v>4</v>
      </c>
      <c r="Q5" s="5" t="b">
        <v>1</v>
      </c>
      <c r="R5" s="5" t="inlineStr">
        <is>
          <t>The evidence describes "the dataset" without naming it, and the challenge list belongs to MOOCRev, so the answer infers that the two are the same. That link is implied, and everything else in the answer is close rewording of the evidence. | MOOCRev is a named dataset, and the question asks what it is and which challenges it targets without pointing to any unseen context.</t>
        </is>
      </c>
      <c r="S5" s="5" t="inlineStr">
        <is>
          <t>How would you describe MOOCRev and the challenges it is designed to address?</t>
        </is>
      </c>
      <c r="T5" s="5" t="inlineStr">
        <is>
          <t>What does MOOCRev consist of, and which challenges does it target?</t>
        </is>
      </c>
      <c r="U5" s="5" t="inlineStr">
        <is>
          <t>What is MOOCRev, and what kind of data does it aggregate?</t>
        </is>
      </c>
      <c r="V5" s="5" t="inlineStr">
        <is>
          <t>MOOCRev is a data repository that aggregates over 1,250,000 MOOC course reviews and ratings from various platforms. Its authors describe it, to the best of their knowledge, as the largest publicly accessible MOOC review dataset.</t>
        </is>
      </c>
      <c r="W5" s="5" t="inlineStr">
        <is>
          <t>grounding(3). The evidence supports the figure of over 1,250,000 course reviews and ratings and the claim of being the largest publicly accessible MOOC review dataset. It does not mention the name MOOCRev, the term 'data repository', or that the reviews come 'from various platforms'. The question names MOOCRev directly and asks what it is and what data it aggregates, without referring to unseen context.</t>
        </is>
      </c>
      <c r="X5" s="5" t="inlineStr">
        <is>
          <t>extra:procurement_technology</t>
        </is>
      </c>
      <c r="Y5" s="5" t="inlineStr">
        <is>
          <t>artificial-intelligence-bceaf5:0124:q0</t>
        </is>
      </c>
    </row>
    <row r="6">
      <c r="A6" s="5" t="n">
        <v>5</v>
      </c>
      <c r="B6" s="5" t="b">
        <v>1</v>
      </c>
      <c r="C6" s="6" t="n"/>
      <c r="D6" s="6" t="n"/>
      <c r="E6" s="5" t="n"/>
      <c r="F6" s="5" t="inlineStr">
        <is>
          <t>A university language department worries that students may misuse AI on assessments. What exam arrangement did a Ha'il University teacher suggest to support ethical AI use, and what do other studies report about grading when AI is implemented?</t>
        </is>
      </c>
      <c r="G6" s="5" t="inlineStr">
        <is>
          <t>One Ha'il University teacher suggested that exams be conducted only in person, or at least on the university campus supervised by a member of staff. Several studies (Chen et al., 2020; Crogman et al., 2023; Ndukwe et al., 2019) reported the necessity of reformulating the system of grading when AI is implemented.</t>
        </is>
      </c>
      <c r="H6" s="5" t="inlineStr">
        <is>
          <t>Ethical and pedagogical implications of AI in language education: An empirical study at Ha'il University, p. 5</t>
        </is>
      </c>
      <c r="I6" s="5" t="inlineStr">
        <is>
          <t>Teacher 4 added, "exams only conducted in person, or at least in the university campus supervised by member of staff." … This solution is confirmed by many studies (Chen et al., 2020; Crogman et al., 2023; Ndukwe et al., 2019) that reported the necessity to reformulating the system of grading when AI is implemented.</t>
        </is>
      </c>
      <c r="J6" s="5" t="b">
        <v>1</v>
      </c>
      <c r="K6" s="5" t="inlineStr"/>
      <c r="L6" s="5" t="b">
        <v>1</v>
      </c>
      <c r="M6" s="5" t="inlineStr">
        <is>
          <t>application</t>
        </is>
      </c>
      <c r="N6" s="5" t="inlineStr">
        <is>
          <t>hard</t>
        </is>
      </c>
      <c r="O6" s="5" t="inlineStr">
        <is>
          <t>assessment</t>
        </is>
      </c>
      <c r="P6" s="5" t="n">
        <v>4</v>
      </c>
      <c r="Q6" s="5" t="b">
        <v>1</v>
      </c>
      <c r="R6" s="5" t="inlineStr">
        <is>
          <t>The exam arrangement and the cited studies on reformulating grading match the evidence nearly verbatim. However, the evidence only says 'Teacher 4' and never mentions Ha'il University, so that affiliation is not shown in the quote. | The question names Ha'il University and describes the scenario and what it asks without referring to unseen context.</t>
        </is>
      </c>
      <c r="S6" s="5" t="inlineStr">
        <is>
          <t>A language department at a university is concerned about student misuse of AI in assessments. Which exam arrangement did a Ha'il University teacher propose for ethical AI use, and what do other studies report about grading when AI is implemented?</t>
        </is>
      </c>
      <c r="T6" s="5" t="inlineStr">
        <is>
          <t>If a university language department fears AI misuse in assessments, what exam setup did a Ha'il University teacher suggest to support ethical AI use, and what do other studies say about grading once AI is implemented?</t>
        </is>
      </c>
      <c r="U6" s="5" t="inlineStr">
        <is>
          <t>A university language department worries that students may misuse AI on assessments. What grading changes did Ha'il University teachers suggest to ensure ethical AI use, and what do other studies say about grading when AI is implemented?</t>
        </is>
      </c>
      <c r="V6" s="5" t="inlineStr">
        <is>
          <t>Ha'il University teachers suggested reformulating grading systems, including in-person exams supervised by staff on campus and awarding marks for discussion and defending one's project. Studies by Chen et al. (2020), Crogman et al. (2023) and Ndukwe et al. (2019) reported that grading systems need to be reformulated when AI is implemented. These include assessing individual learners' improvement plans and collaborating on administrative tasks beyond grading.</t>
        </is>
      </c>
      <c r="W6" s="5" t="inlineStr">
        <is>
          <t>grounding(2). The evidence supports the in-person, staff-supervised exams and the cited studies on reformulating grading. It does not mention awarding marks for discussion or project defence, assessing learners' improvement plans, or collaborating on administrative tasks beyond grading. The question names Ha'il University teachers and frames the scenario fully, so it does not depend on unseen context.</t>
        </is>
      </c>
      <c r="X6" s="5" t="inlineStr">
        <is>
          <t>extra:assessment</t>
        </is>
      </c>
      <c r="Y6" s="5" t="inlineStr">
        <is>
          <t>ethical-and-pedagogical-implications-of-ai-in:0011:q4</t>
        </is>
      </c>
    </row>
    <row r="7">
      <c r="A7" s="5" t="n">
        <v>6</v>
      </c>
      <c r="B7" s="5" t="b">
        <v>1</v>
      </c>
      <c r="C7" s="6" t="n"/>
      <c r="D7" s="6" t="n"/>
      <c r="E7" s="5" t="n"/>
      <c r="F7" s="5" t="inlineStr">
        <is>
          <t>In a faculty survey on AI in higher education, what percentage of faculty did not find their institutional AI guidelines comprehensive, and what percentage believed their institutions had provided sufficient resources to develop faculty AI literacy?</t>
        </is>
      </c>
      <c r="G7" s="5" t="inlineStr">
        <is>
          <t>80% of faculty do not find their institutional AI guidelines comprehensive. Only 22% believe that their institutions have provided sufficient resources to develop faculty AI literacy.</t>
        </is>
      </c>
      <c r="H7" s="5" t="inlineStr">
        <is>
          <t>Higher Education in the Arab World, p. 98</t>
        </is>
      </c>
      <c r="I7" s="5" t="inlineStr">
        <is>
          <t>80% of faculty do not find their institutional AI guidelines comprehensive; only 22% believe that their institutions have provided sufficient resources to develop faculty AI literacy</t>
        </is>
      </c>
      <c r="J7" s="5" t="b">
        <v>1</v>
      </c>
      <c r="K7" s="5" t="inlineStr"/>
      <c r="L7" s="5" t="b">
        <v>1</v>
      </c>
      <c r="M7" s="5" t="inlineStr">
        <is>
          <t>explanation</t>
        </is>
      </c>
      <c r="N7" s="5" t="inlineStr">
        <is>
          <t>medium</t>
        </is>
      </c>
      <c r="O7" s="5" t="inlineStr">
        <is>
          <t>faculty_readiness</t>
        </is>
      </c>
      <c r="P7" s="5" t="n">
        <v>5</v>
      </c>
      <c r="Q7" s="5" t="b">
        <v>1</v>
      </c>
      <c r="R7" s="5" t="inlineStr">
        <is>
          <t>Both figures, 80% and 22%, are stated directly in the evidence with essentially identical wording. | The question describes the survey by its content (a faculty survey on AI in higher education) and contains no references to unseen context.</t>
        </is>
      </c>
      <c r="S7" s="5" t="inlineStr">
        <is>
          <t>What share of surveyed faculty said their institution's AI guidelines were not comprehensive, and what share felt their institution had given enough resources to build faculty AI literacy?</t>
        </is>
      </c>
      <c r="T7" s="5" t="inlineStr">
        <is>
          <t>In a survey of faculty regarding AI, how many percent found institutional AI guidelines non-comprehensive, and how many percent thought sufficient resources for developing faculty AI literacy had been provided?</t>
        </is>
      </c>
      <c r="U7" s="5" t="inlineStr">
        <is>
          <t>Why does the 2025 Digital Education Council survey of faculty point to an urgent need to build educators' AI competencies?</t>
        </is>
      </c>
      <c r="V7" s="5" t="inlineStr">
        <is>
          <t>In the survey, 80% of faculty do not find their institutional AI guidelines comprehensive, and only 22% believe their institutions have provided sufficient resources to develop faculty AI literacy. This is described as indicating an urgent need to build educators' AI competencies.</t>
        </is>
      </c>
      <c r="W7" s="5" t="inlineStr">
        <is>
          <t>grounding(3). The two statistics are directly supported. The claim that these findings are described as indicating an urgent need to build educators' AI competencies does not appear in the quoted evidence, and neither does the survey's name or year. The question names the survey by its organization and year, so a reader new to the source understands what is being asked.</t>
        </is>
      </c>
      <c r="X7" s="5" t="inlineStr">
        <is>
          <t>extra:faculty_readiness</t>
        </is>
      </c>
      <c r="Y7" s="5" t="inlineStr">
        <is>
          <t>higher-education-in-arab:0053:q1</t>
        </is>
      </c>
    </row>
    <row r="8">
      <c r="A8" s="5" t="n">
        <v>7</v>
      </c>
      <c r="B8" s="5" t="b">
        <v>1</v>
      </c>
      <c r="C8" s="6" t="n"/>
      <c r="D8" s="6" t="n"/>
      <c r="E8" s="5" t="n"/>
      <c r="F8" s="5" t="inlineStr">
        <is>
          <t>Which technique conceals confidential information in a way that does not affect the overall outcome of an AI system's decision-making process?</t>
        </is>
      </c>
      <c r="G8" s="5" t="inlineStr">
        <is>
          <t>Data masking is the technique. It is described as concealing confidential information in a way that does not affect the overall outcome of the decision-making process.</t>
        </is>
      </c>
      <c r="H8" s="5" t="inlineStr">
        <is>
          <t>Towards Ethical and Socially Responsible Explainable AI, p. 103</t>
        </is>
      </c>
      <c r="I8" s="5" t="inlineStr">
        <is>
          <t>This can be achieved through techniques such as data masking, where confidential information is concealed in a way that does not affect the overall outcome of the decisionmaking process.</t>
        </is>
      </c>
      <c r="J8" s="5" t="b">
        <v>1</v>
      </c>
      <c r="K8" s="5" t="inlineStr"/>
      <c r="L8" s="5" t="b">
        <v>1</v>
      </c>
      <c r="M8" s="5" t="inlineStr">
        <is>
          <t>factual</t>
        </is>
      </c>
      <c r="N8" s="5" t="inlineStr">
        <is>
          <t>easy</t>
        </is>
      </c>
      <c r="O8" s="5" t="inlineStr">
        <is>
          <t>privacy_security</t>
        </is>
      </c>
      <c r="P8" s="5" t="n">
        <v>5</v>
      </c>
      <c r="Q8" s="5" t="b">
        <v>1</v>
      </c>
      <c r="R8" s="5" t="inlineStr">
        <is>
          <t>The answer directly restates the evidence: data masking conceals confidential information without affecting the overall outcome of the decision-making process. | The question is self-contained. It does not refer to unseen context, so a reader can understand it without the source.</t>
        </is>
      </c>
      <c r="S8" s="5" t="inlineStr">
        <is>
          <t>What technique hides confidential data in an AI system without changing the outcome of its decision-making?</t>
        </is>
      </c>
      <c r="T8" s="5" t="inlineStr">
        <is>
          <t>Which approach lets AI systems conceal confidential information while leaving the overall decision outcome unaffected?</t>
        </is>
      </c>
      <c r="U8" s="5" t="inlineStr">
        <is>
          <t>Which technique conceals confidential information in a way that does not affect the overall outcome of an AI system's decision-making process?</t>
        </is>
      </c>
      <c r="V8" s="5" t="inlineStr">
        <is>
          <t>Data masking is the technique. It conceals confidential information in a way that does not affect the overall outcome of the decision-making process, which helps AI systems stay transparent while protecting confidential data.</t>
        </is>
      </c>
      <c r="W8" s="5" t="inlineStr">
        <is>
          <t>grounding(3). The evidence supports data masking concealing confidential information without affecting the decision outcome. The closing claim that this 'helps AI systems stay transparent while protecting confidential data' is not stated in the quoted evidence. The question describes the technique by its function and does not refer to any unseen source or context.</t>
        </is>
      </c>
      <c r="X8" s="5" t="inlineStr">
        <is>
          <t>pilot</t>
        </is>
      </c>
      <c r="Y8" s="5" t="inlineStr">
        <is>
          <t>towards-ethical:0051:q0</t>
        </is>
      </c>
    </row>
    <row r="9">
      <c r="A9" s="5" t="n">
        <v>8</v>
      </c>
      <c r="B9" s="5" t="b">
        <v>1</v>
      </c>
      <c r="C9" s="6" t="n"/>
      <c r="D9" s="6" t="n"/>
      <c r="E9" s="5" t="n"/>
      <c r="F9" s="5" t="inlineStr">
        <is>
          <t>How does Article 124 of Peru's Law 30220 of 2014 define social responsibility in higher education (SRHEI)?</t>
        </is>
      </c>
      <c r="G9" s="5" t="inlineStr">
        <is>
          <t>Article 124 defines social responsibility in higher education as "the ethical and effective management of the impact generated by the university in society." This is understood to include managing the impact produced by the relationship between the (the quoted text ends at this point).</t>
        </is>
      </c>
      <c r="H9" s="5" t="inlineStr">
        <is>
          <t>Socially Responsible Higher Education, p. 219</t>
        </is>
      </c>
      <c r="I9" s="5" t="inlineStr">
        <is>
          <t>Article 124 defines SRHEI as "the ethical and effective management of the impact generated by the university in society", which is understood to "include managing the impact produced by the relationship between the</t>
        </is>
      </c>
      <c r="J9" s="5" t="b">
        <v>1</v>
      </c>
      <c r="K9" s="5" t="inlineStr"/>
      <c r="L9" s="5" t="b">
        <v>1</v>
      </c>
      <c r="M9" s="5" t="inlineStr">
        <is>
          <t>definition</t>
        </is>
      </c>
      <c r="N9" s="5" t="inlineStr">
        <is>
          <t>easy</t>
        </is>
      </c>
      <c r="O9" s="5" t="inlineStr">
        <is>
          <t>governance</t>
        </is>
      </c>
      <c r="P9" s="5" t="n">
        <v>5</v>
      </c>
      <c r="Q9" s="5" t="b">
        <v>1</v>
      </c>
      <c r="R9" s="5" t="inlineStr">
        <is>
          <t>The answer reproduces the quoted definition word for word and explicitly flags where the evidence is truncated. It adds no unsupported claims. | The question names the specific law and article and spells out SRHEI, so a reader needs no other context to understand what is being asked.</t>
        </is>
      </c>
      <c r="S9" s="5" t="inlineStr">
        <is>
          <t>What definition of social responsibility in higher education is given in Article 124 of Peru's 2014 Law 30220?</t>
        </is>
      </c>
      <c r="T9" s="5" t="inlineStr">
        <is>
          <t>In Peru's Law 30220, how is social responsibility in higher education defined in Article 124?</t>
        </is>
      </c>
      <c r="U9" s="5" t="inlineStr">
        <is>
          <t>How does Article 124 of Peru's Law 30220 of 2014 define social responsibility in higher education?</t>
        </is>
      </c>
      <c r="V9" s="5" t="inlineStr">
        <is>
          <t>Article 124 defines social responsibility in higher education as the ethical and effective management of the impact generated by the university in society. This includes managing the impact produced by the relationships between the university community, its environment, and other public and private organisations.</t>
        </is>
      </c>
      <c r="W9" s="5" t="inlineStr">
        <is>
          <t>grounding(3). The evidence is cut off at 'the relationship between the', so the parties named in the answer (university community, its environment, and other public and private organisations) are not supported by the quoted text. The question names the specific law, article, country and year, so it is understandable without any further context.</t>
        </is>
      </c>
      <c r="X9" s="5" t="inlineStr">
        <is>
          <t>pilot</t>
        </is>
      </c>
      <c r="Y9" s="5" t="inlineStr">
        <is>
          <t>budd-l-hall-rajesh-2021-socially-responsible:0118:q0</t>
        </is>
      </c>
    </row>
    <row r="10">
      <c r="A10" s="5" t="n">
        <v>9</v>
      </c>
      <c r="B10" s="5" t="b">
        <v>1</v>
      </c>
      <c r="C10" s="6" t="n"/>
      <c r="D10" s="6" t="n"/>
      <c r="E10" s="5" t="n"/>
      <c r="F10" s="5" t="inlineStr">
        <is>
          <t>A Peruvian university has no staff expertise in social responsibility and is waiting for government guidance before acting on Law 30220. What is known about why implementation of the law's social responsibility obligations has been difficult, and how widespread are the difficulties?</t>
        </is>
      </c>
      <c r="G10" s="5" t="inlineStr">
        <is>
          <t>Implementation of the Act's obligations has been disparate and difficult, which may be due in large part to the lack of further regulations, policies or government sponsored programmes to accompany the Act. A 2018 URSULA study found that all 18 Peruvian universities surveyed had difficulty executing socially responsible initiatives, with results below the regional average. A 2017 ENARSU study found that only 36% of universities studied were incorporating social responsibility into curriculums and campus life.</t>
        </is>
      </c>
      <c r="H10" s="5" t="inlineStr">
        <is>
          <t>Socially Responsible Higher Education, p. 220</t>
        </is>
      </c>
      <c r="I10" s="5" t="inlineStr">
        <is>
          <t>However, the obligations set out in the Act have had a disparate and difficult implementation. This may be due in large part to the lack of further regulations, policies or government sponsored programmes to accompany the Act. … a 2018 study by Unión de Responsabilidad Social Universitaria Latinoamericana - URSULA (Latin American Social Responsibility in Higher Education Union) found that all 18 Peruvian universities surveyed had difficulty in executing socially responsible initiatives, with results below the regional average (p. 17). … a 2017 study by Peru's ENARSU Network (Network of the National Meeting on Social Responsibility in Higher Education) found that only 43% of the 50 universities surveyed considered SRHEI as a central pillar in their institution (Stojnic Chávez &amp; Jungbluth Melgar, 2017, p. 4). This last report also found that only 36% of universities studied were incorporating SRHEI into curriculums and campus life</t>
        </is>
      </c>
      <c r="J10" s="5" t="b">
        <v>1</v>
      </c>
      <c r="K10" s="5" t="inlineStr"/>
      <c r="L10" s="5" t="b">
        <v>1</v>
      </c>
      <c r="M10" s="5" t="inlineStr">
        <is>
          <t>application</t>
        </is>
      </c>
      <c r="N10" s="5" t="inlineStr">
        <is>
          <t>hard</t>
        </is>
      </c>
      <c r="O10" s="5" t="inlineStr">
        <is>
          <t>governance</t>
        </is>
      </c>
      <c r="P10" s="5" t="n">
        <v>4</v>
      </c>
      <c r="Q10" s="5" t="b">
        <v>1</v>
      </c>
      <c r="R10" s="5" t="inlineStr">
        <is>
          <t>Every statement in the answer is supported by the evidence, with only light rewording such as "social responsibility" for SRHEI. It leaves out the 43% figure, but that omission does not introduce any unsupported claim. | The question names Law 30220 and Peru, so the subject is clear without the source. The scenario framing is self-contained and needs no outside context.</t>
        </is>
      </c>
      <c r="S10" s="5" t="inlineStr">
        <is>
          <t>A university in Peru lacks social responsibility expertise and is waiting for state direction on Law 30220. What is known about the reasons implementation has been difficult and how common those difficulties are?</t>
        </is>
      </c>
      <c r="T10" s="5" t="inlineStr">
        <is>
          <t>If a Peruvian university has no social responsibility expertise and awaits government guidance under Law 30220, what explains the difficult implementation of the law's obligations and how far do the difficulties extend?</t>
        </is>
      </c>
      <c r="U10" s="5" t="inlineStr">
        <is>
          <t>A Peruvian university has no staff expertise in social responsibility and is waiting for government guidance before acting on Law 30220. What does the evidence on the law's implementation say about why such difficulties arise, and how widespread they are?</t>
        </is>
      </c>
      <c r="V10" s="5" t="inlineStr">
        <is>
          <t>Implementation of the Act's obligations has been disparate and difficult, which may be due largely to the lack of further regulations, policies or government sponsored programmes to accompany the Act. A 2018 URSULA study found that all 18 surveyed Peruvian universities had difficulty executing socially responsible initiatives, with results below the regional average. A 2017 ENARSU study found that only 36% of universities studied were incorporating social responsibility into curriculums and campus life.</t>
        </is>
      </c>
      <c r="W10" s="5" t="inlineStr">
        <is>
          <t xml:space="preserve">not_standalone(prefilter:'the evidence'). </t>
        </is>
      </c>
      <c r="X10" s="5" t="inlineStr">
        <is>
          <t>pilot</t>
        </is>
      </c>
      <c r="Y10" s="5" t="inlineStr">
        <is>
          <t>budd-l-hall-rajesh-2021-socially-responsible:0118:q4</t>
        </is>
      </c>
    </row>
    <row r="11">
      <c r="A11" s="5" t="n">
        <v>10</v>
      </c>
      <c r="B11" s="5" t="b">
        <v>1</v>
      </c>
      <c r="C11" s="6" t="n"/>
      <c r="D11" s="6" t="n"/>
      <c r="E11" s="5" t="n"/>
      <c r="F11" s="5" t="inlineStr">
        <is>
          <t>The Times Higher Education (THE) world university ranking places 270 of its 'top 300' universities in Europe, North America, Australia and New Zealand. Is this geographic concentration unique to THE, and how do the ARWU and QS rankings compare?</t>
        </is>
      </c>
      <c r="G11" s="5" t="inlineStr">
        <is>
          <t>Of the purportedly 'top 300' universities in the THE ranking, 270 (90%) are located in Europe, North America, Australia and New Zealand. THE is not alone in this bias. The Academic Ranking of World Universities (ARWU, 2019) and the QS World University Rankings (QS, 2019) are more geographically inclusive, but only by a few percentage points.</t>
        </is>
      </c>
      <c r="H11" s="5" t="inlineStr">
        <is>
          <t>Socially Responsible Higher Education, p. 95</t>
        </is>
      </c>
      <c r="I11" s="5" t="inlineStr">
        <is>
          <t>of the purportedly 'top 300' universities in the world, 270 (90%) are located in Europe, North America, Australia and New Zealand. … THE is not alone in this bias - the Academic Ranking of World Universities (ARWU, 2019) and QS World University Rankings (QS, 2019) are more geographically inclusive, but only by a few percentage points.</t>
        </is>
      </c>
      <c r="J11" s="5" t="b">
        <v>1</v>
      </c>
      <c r="K11" s="5" t="inlineStr"/>
      <c r="L11" s="5" t="b">
        <v>1</v>
      </c>
      <c r="M11" s="5" t="inlineStr">
        <is>
          <t>explanation</t>
        </is>
      </c>
      <c r="N11" s="5" t="inlineStr">
        <is>
          <t>medium</t>
        </is>
      </c>
      <c r="O11" s="5" t="inlineStr">
        <is>
          <t>equity_accessibility</t>
        </is>
      </c>
      <c r="P11" s="5" t="n">
        <v>4</v>
      </c>
      <c r="Q11" s="5" t="b">
        <v>1</v>
      </c>
      <c r="R11" s="5" t="inlineStr">
        <is>
          <t>Every statement matches the evidence: 270 (90%), THE not alone, ARWU and QS more inclusive by only a few percentage points. The only addition is explicitly attributing the 'top 300' list to THE, which is a trivial inference from 'THE is not alone in this bias'. | The question names the THE, ARWU and QS rankings and the specific statistic. It does not rely on any unseen context.</t>
        </is>
      </c>
      <c r="S11" s="5" t="inlineStr">
        <is>
          <t>Of THE's purported 'top 300' universities, 90% are in Europe, North America, Australia and New Zealand. Is THE the only ranking with this bias, and how do ARWU and QS compare?</t>
        </is>
      </c>
      <c r="T11" s="5" t="inlineStr">
        <is>
          <t>In the Times Higher Education (THE) world university ranking, 270 of the 'top 300' institutions are in Europe, North America, Australia and New Zealand. Does only THE show this geographic concentration, and how do the ARWU and QS rankings compare?</t>
        </is>
      </c>
      <c r="U11" s="5" t="inlineStr">
        <is>
          <t>Why is geographic bias in university rankings not unique to the Times Higher Education ranking?</t>
        </is>
      </c>
      <c r="V11" s="5" t="inlineStr">
        <is>
          <t>THE is not alone in this bias. The Academic Ranking of World Universities (ARWU, 2019) and the QS World University Rankings (QS, 2019) are more geographically inclusive, but only by a few percentage points.</t>
        </is>
      </c>
      <c r="W11" s="5" t="inlineStr">
        <is>
          <t>not_standalone(judge). The answer restates the evidence almost verbatim: other rankings (ARWU, QS) are only slightly more geographically inclusive than THE. The question names the Times Higher Education ranking and is mostly clear. However, 'geographic bias' presupposes an established finding about THE that a reader has not seen, and the 'why' framing is odd given that the answer is a comparison.</t>
        </is>
      </c>
      <c r="X11" s="5" t="inlineStr">
        <is>
          <t>pilot</t>
        </is>
      </c>
      <c r="Y11" s="5" t="inlineStr">
        <is>
          <t>budd-l-hall-rajesh-2021-socially-responsible:0055:q4</t>
        </is>
      </c>
    </row>
    <row r="12">
      <c r="A12" s="5" t="n">
        <v>11</v>
      </c>
      <c r="B12" s="5" t="b">
        <v>1</v>
      </c>
      <c r="C12" s="6" t="n"/>
      <c r="D12" s="6" t="n"/>
      <c r="E12" s="5" t="n"/>
      <c r="F12" s="5" t="inlineStr">
        <is>
          <t>A university in an Arab state is reviewing findings from the Digital Education Council Global AI Faculty Survey 2025 on faculty and AI in teaching. Which three items, with percentages, are listed as limited time or resources, inadequate understanding of AI in teaching, and concern about negative impacts?</t>
        </is>
      </c>
      <c r="G12" s="5" t="inlineStr">
        <is>
          <t>The survey lists limited time or resources to explore AI at 40%, inadequate understanding about how to use AI in teaching at 38%, and concern about potential negative impacts at 32%.</t>
        </is>
      </c>
      <c r="H12" s="5" t="inlineStr">
        <is>
          <t>Higher Education in the Arab World, p. 97</t>
        </is>
      </c>
      <c r="I12" s="5" t="inlineStr">
        <is>
          <t>Limited time or resources to explore AI (40%)
Inadequate understanding about how to use AI in teaching (38%)
Concern about potential negative impacts (32%)</t>
        </is>
      </c>
      <c r="J12" s="5" t="b">
        <v>0</v>
      </c>
      <c r="K12" s="5" t="inlineStr">
        <is>
          <t>format(sentences=1,allowed=2-5)</t>
        </is>
      </c>
      <c r="L12" s="5" t="b">
        <v>1</v>
      </c>
      <c r="M12" s="5" t="inlineStr">
        <is>
          <t>application</t>
        </is>
      </c>
      <c r="N12" s="5" t="inlineStr">
        <is>
          <t>hard</t>
        </is>
      </c>
      <c r="O12" s="5" t="inlineStr">
        <is>
          <t>faculty_readiness</t>
        </is>
      </c>
      <c r="P12" s="5" t="n">
        <v>5</v>
      </c>
      <c r="Q12" s="5" t="b">
        <v>1</v>
      </c>
      <c r="R12" s="5" t="inlineStr">
        <is>
          <t>All three items and their percentages (40%, 38%, 32%) are stated directly in the evidence. The answer adds no extra claims. | The question names the specific survey and the three items, so it is understandable without the source, despite the extraneous Arab-state framing.</t>
        </is>
      </c>
      <c r="S12" s="5" t="inlineStr">
        <is>
          <t>A university in an Arab state is looking at the 2025 Digital Education Council Global AI Faculty Survey. What percentages are reported for limited time or resources to explore AI, inadequate understanding about how to use AI in teaching, and concern about potential negative impacts?</t>
        </is>
      </c>
      <c r="T12" s="5" t="inlineStr">
        <is>
          <t>Using the Digital Education Council Global AI Faculty Survey 2025, which percentages does an Arab-state university find for limited time or resources, inadequate understanding of how to use AI in teaching, and concern about negative impacts?</t>
        </is>
      </c>
      <c r="U12" s="5" t="inlineStr">
        <is>
          <t>A university in an Arab state wants to help faculty who do not yet use AI in their teaching. Based on survey findings from the Digital Education Council Global AI Faculty Survey 2025, which barriers do such faculty report and which enablers do faculty say would help them integrate AI?</t>
        </is>
      </c>
      <c r="V12" s="5" t="inlineStr">
        <is>
          <t>Faculty who do not use AI in teaching cite limited time or resources (40%), inadequate understanding of how to use AI in teaching (38%), and concern about negative impacts (32%). The key enablers faculty identify are access to AI tools and resources (65%), faculty AI literacy training (64%), a collection of good practices and use cases (60%), and clear guidelines on AI in teaching (50%).</t>
        </is>
      </c>
      <c r="W12" s="5" t="inlineStr">
        <is>
          <t>grounding(3). The listed items and percentages match the evidence exactly. However, the evidence never states that the first three items are reasons given by faculty who do not use AI, nor labels the last four as enablers. Those attributions go beyond what is quoted. The question names the survey explicitly and describes the scenario fully, without referring to unseen context.</t>
        </is>
      </c>
      <c r="X12" s="5" t="inlineStr">
        <is>
          <t>extra:faculty_readiness</t>
        </is>
      </c>
      <c r="Y12" s="5" t="inlineStr">
        <is>
          <t>higher-education-in-arab:0053:q0</t>
        </is>
      </c>
    </row>
    <row r="13">
      <c r="A13" s="5" t="n">
        <v>12</v>
      </c>
      <c r="B13" s="5" t="b">
        <v>1</v>
      </c>
      <c r="C13" s="6" t="n"/>
      <c r="D13" s="6" t="n"/>
      <c r="E13" s="5" t="n"/>
      <c r="F13" s="5" t="inlineStr">
        <is>
          <t>In a book on generative AI in higher education and the ChatGPT effect, what does a good foundation in AI enable university teachers to do?</t>
        </is>
      </c>
      <c r="G13" s="5" t="inlineStr">
        <is>
          <t>A good foundation in AI enables teachers to employ data analysis techniques, engage with automated assessment systems, and create personalised learning experiences.</t>
        </is>
      </c>
      <c r="H13" s="5" t="inlineStr">
        <is>
          <t>Generative AI in Higher Education: The ChatGPT Effect, p. 63</t>
        </is>
      </c>
      <c r="I13" s="5" t="inlineStr">
        <is>
          <t>A good foundation in AI enables teachers to employ data analysis techniques, engage with automated assessment systems, and create personalised learning experiences.</t>
        </is>
      </c>
      <c r="J13" s="5" t="b">
        <v>0</v>
      </c>
      <c r="K13" s="5" t="inlineStr">
        <is>
          <t>format(sentences=1,allowed=2-5)</t>
        </is>
      </c>
      <c r="L13" s="5" t="b">
        <v>1</v>
      </c>
      <c r="M13" s="5" t="inlineStr">
        <is>
          <t>explanation</t>
        </is>
      </c>
      <c r="N13" s="5" t="inlineStr">
        <is>
          <t>medium</t>
        </is>
      </c>
      <c r="O13" s="5" t="inlineStr">
        <is>
          <t>faculty_readiness</t>
        </is>
      </c>
      <c r="P13" s="5" t="n">
        <v>5</v>
      </c>
      <c r="Q13" s="5" t="b">
        <v>1</v>
      </c>
      <c r="R13" s="5" t="inlineStr">
        <is>
          <t>The answer restates the evidence sentence verbatim, with no added claims. | The question identifies the source by its content (a book on generative AI in higher education and the ChatGPT effect) and is clear without seeing the source.</t>
        </is>
      </c>
      <c r="S13" s="5" t="inlineStr">
        <is>
          <t>According to a book on generative AI in higher education and the ChatGPT effect, what can university teachers do when they have a good foundation in AI?</t>
        </is>
      </c>
      <c r="T13" s="5" t="inlineStr">
        <is>
          <t>In a book about the ChatGPT effect and generative AI in higher education, what does a solid foundation in AI allow teachers to do?</t>
        </is>
      </c>
      <c r="U13" s="5" t="inlineStr">
        <is>
          <t>Why does a good foundation in AI matter for university teachers, according to the book on generative AI in higher education and the ChatGPT effect?</t>
        </is>
      </c>
      <c r="V13" s="5" t="inlineStr">
        <is>
          <t>A good foundation in AI enables teachers to employ data analysis techniques, engage with automated assessment systems, and create personalised learning experiences. This helps them navigate AI-integrated education confidently and leverage AI to enhance teaching and learning.</t>
        </is>
      </c>
      <c r="W13" s="5" t="inlineStr">
        <is>
          <t>grounding(3). The first sentence restates the evidence, but the second sentence adds a claim not in the evidence: that this helps teachers navigate AI-integrated education confidently and leverage AI to enhance teaching and learning. The question identifies the source by its content (a book on generative AI in higher education and the ChatGPT effect) and contains no undefined references.</t>
        </is>
      </c>
      <c r="X13" s="5" t="inlineStr">
        <is>
          <t>extra:faculty_readiness</t>
        </is>
      </c>
      <c r="Y13" s="5" t="inlineStr">
        <is>
          <t>cecilia-ka-yuk-chan-2024-generative-ai-in:0035:q0</t>
        </is>
      </c>
    </row>
    <row r="14">
      <c r="A14" s="5" t="n">
        <v>13</v>
      </c>
      <c r="B14" s="5" t="b">
        <v>1</v>
      </c>
      <c r="C14" s="6" t="n"/>
      <c r="D14" s="6" t="n"/>
      <c r="E14" s="5" t="n"/>
      <c r="F14" s="5" t="inlineStr">
        <is>
          <t>Why might biases arise in educational AI systems?</t>
        </is>
      </c>
      <c r="G14" s="5" t="inlineStr">
        <is>
          <t>Biases in educational AI systems may arise from historical educational data or from a lack of diversity in the training data.</t>
        </is>
      </c>
      <c r="H14" s="5" t="inlineStr">
        <is>
          <t>Towards Ethical and Socially Responsible Explainable AI, p. 68</t>
        </is>
      </c>
      <c r="I14" s="5" t="inlineStr">
        <is>
          <t>Biases may arise from historical educational data or a lack of diversity in training data</t>
        </is>
      </c>
      <c r="J14" s="5" t="b">
        <v>0</v>
      </c>
      <c r="K14" s="5" t="inlineStr">
        <is>
          <t>format(sentences=1,allowed=2-5)</t>
        </is>
      </c>
      <c r="L14" s="5" t="b">
        <v>0</v>
      </c>
      <c r="M14" s="5" t="inlineStr">
        <is>
          <t>explanation</t>
        </is>
      </c>
      <c r="N14" s="5" t="inlineStr">
        <is>
          <t>medium</t>
        </is>
      </c>
      <c r="O14" s="5" t="inlineStr">
        <is>
          <t>equity_accessibility</t>
        </is>
      </c>
      <c r="P14" s="5" t="n">
        <v>5</v>
      </c>
      <c r="Q14" s="5" t="b">
        <v>1</v>
      </c>
      <c r="R14" s="5" t="inlineStr">
        <is>
          <t>The answer directly restates the evidence: biases may arise from historical educational data or a lack of diversity in training data. | The question is self-contained and clear without the source. It asks about the origins of bias in educational AI systems.</t>
        </is>
      </c>
      <c r="S14" s="5" t="inlineStr">
        <is>
          <t>What are the sources from which bias can come in AI systems used in education?</t>
        </is>
      </c>
      <c r="T14" s="5" t="inlineStr">
        <is>
          <t>How do biases come to exist in AI systems used for education?</t>
        </is>
      </c>
      <c r="U14" s="5" t="inlineStr"/>
      <c r="V14" s="5" t="inlineStr"/>
      <c r="W14" s="5" t="inlineStr"/>
      <c r="X14" s="5" t="inlineStr">
        <is>
          <t>pilot</t>
        </is>
      </c>
      <c r="Y14" s="5" t="inlineStr">
        <is>
          <t>towards-ethical:0028:q2</t>
        </is>
      </c>
    </row>
    <row r="15">
      <c r="A15" s="5" t="n">
        <v>14</v>
      </c>
      <c r="B15" s="5" t="b">
        <v>1</v>
      </c>
      <c r="C15" s="6" t="n"/>
      <c r="D15" s="6" t="n"/>
      <c r="E15" s="5" t="n"/>
      <c r="F15" s="5" t="inlineStr">
        <is>
          <t>In a study of 1280 undergraduates at 12 Chinese higher education institutions, how did institutional culture relate to AI-based assessment practices and to students' meta-skills?</t>
        </is>
      </c>
      <c r="G15" s="5" t="inlineStr">
        <is>
          <t>Institutional culture was positively associated with AI-based assessment practices (β = .49, R² = .24) and also with meta-skills, though more weakly (β = .21).</t>
        </is>
      </c>
      <c r="H15" s="5" t="inlineStr">
        <is>
          <t>AI-enabled assessment in higher education: Institutional culture and student meta-skill readiness across university tiers, p. 1</t>
        </is>
      </c>
      <c r="I15" s="5" t="inlineStr">
        <is>
          <t>Institutional culture was positively associated with AI-based assessment practices (β = .49, R 2 = .24) and meta-skills (β = .21) … Institutional culture was positively associated with AI-based assessment practices (β = .49, R 2 = .24) and meta-skills (β = .21)</t>
        </is>
      </c>
      <c r="J15" s="5" t="b">
        <v>0</v>
      </c>
      <c r="K15" s="5" t="inlineStr">
        <is>
          <t>format(sentences=1,allowed=2-5)</t>
        </is>
      </c>
      <c r="L15" s="5" t="b">
        <v>0</v>
      </c>
      <c r="M15" s="5" t="inlineStr">
        <is>
          <t>explanation</t>
        </is>
      </c>
      <c r="N15" s="5" t="inlineStr">
        <is>
          <t>medium</t>
        </is>
      </c>
      <c r="O15" s="5" t="inlineStr">
        <is>
          <t>leadership_strategy</t>
        </is>
      </c>
      <c r="P15" s="5" t="n">
        <v>4</v>
      </c>
      <c r="Q15" s="5" t="b">
        <v>1</v>
      </c>
      <c r="R15" s="5" t="inlineStr">
        <is>
          <t>Both coefficients are stated in the evidence. The phrase 'though more weakly' is not stated, but it is a trivial comparison of the reported betas (.21 vs .49). | The question identifies the study by its sample (1280 undergraduates at 12 Chinese higher education institutions) and names the variables explicitly, with no reference to unseen context.</t>
        </is>
      </c>
      <c r="S15" s="5" t="inlineStr">
        <is>
          <t>What did a study of 1280 undergraduates at 12 Chinese institutions find about institutional culture's association with AI-based assessment practices and with meta-skills?</t>
        </is>
      </c>
      <c r="T15" s="5" t="inlineStr">
        <is>
          <t>How strongly was institutional culture associated with AI-based assessment practices compared with meta-skills among 1280 undergraduates in China?</t>
        </is>
      </c>
      <c r="U15" s="5" t="inlineStr"/>
      <c r="V15" s="5" t="inlineStr"/>
      <c r="W15" s="5" t="inlineStr"/>
      <c r="X15" s="5" t="inlineStr">
        <is>
          <t>extra:assessment</t>
        </is>
      </c>
      <c r="Y15" s="5" t="inlineStr">
        <is>
          <t>ai-enabled-assessment-in-higher-education:0000:q1</t>
        </is>
      </c>
    </row>
    <row r="16">
      <c r="A16" s="5" t="n">
        <v>15</v>
      </c>
      <c r="B16" s="5" t="b">
        <v>1</v>
      </c>
      <c r="C16" s="6" t="n"/>
      <c r="D16" s="6" t="n"/>
      <c r="E16" s="5" t="n"/>
      <c r="F16" s="5" t="inlineStr">
        <is>
          <t>In AI transparency, what is transparency described as and what does it let AI systems communicate?</t>
        </is>
      </c>
      <c r="G16" s="5" t="inlineStr">
        <is>
          <t>Transparency in AI serves as the bridge between human users and machine intelligence. It is the mechanism through which AI systems communicate their decision-making processes, data sources, and the rationale behind their recommendations.</t>
        </is>
      </c>
      <c r="H16" s="5" t="inlineStr">
        <is>
          <t>Towards Ethical and Socially Responsible Explainable AI, p. 150</t>
        </is>
      </c>
      <c r="I16" s="5" t="inlineStr">
        <is>
          <t>Transparency in AI serves as the bridge between human users and machine intelligence. It is the mechanism through which AI systems communicate their decisionmaking processes, data sources, and the rationale behind their recommendations.</t>
        </is>
      </c>
      <c r="J16" s="5" t="b">
        <v>1</v>
      </c>
      <c r="K16" s="5" t="inlineStr"/>
      <c r="L16" s="5" t="b">
        <v>0</v>
      </c>
      <c r="M16" s="5" t="inlineStr">
        <is>
          <t>definition</t>
        </is>
      </c>
      <c r="N16" s="5" t="inlineStr">
        <is>
          <t>easy</t>
        </is>
      </c>
      <c r="O16" s="5" t="inlineStr">
        <is>
          <t>general</t>
        </is>
      </c>
      <c r="P16" s="5" t="n">
        <v>5</v>
      </c>
      <c r="Q16" s="5" t="b">
        <v>1</v>
      </c>
      <c r="R16" s="5" t="inlineStr">
        <is>
          <t>The answer reproduces the evidence nearly verbatim, with only a hyphenation difference. | The question asks about the general concept of transparency in AI and does not refer to any unseen source or context.</t>
        </is>
      </c>
      <c r="S16" s="5" t="inlineStr">
        <is>
          <t>How is transparency in AI characterized, and what does it enable AI systems to communicate?</t>
        </is>
      </c>
      <c r="T16" s="5" t="inlineStr">
        <is>
          <t>Within AI transparency, how is transparency characterized, and what does it enable AI systems to convey?</t>
        </is>
      </c>
      <c r="U16" s="5" t="inlineStr"/>
      <c r="V16" s="5" t="inlineStr"/>
      <c r="W16" s="5" t="inlineStr"/>
      <c r="X16" s="5" t="inlineStr">
        <is>
          <t>pilot</t>
        </is>
      </c>
      <c r="Y16" s="5" t="inlineStr">
        <is>
          <t>towards-ethical:0077:q3</t>
        </is>
      </c>
    </row>
    <row r="17">
      <c r="A17" s="5" t="n">
        <v>16</v>
      </c>
      <c r="B17" s="5" t="b">
        <v>1</v>
      </c>
      <c r="C17" s="6" t="n"/>
      <c r="D17" s="6" t="n"/>
      <c r="E17" s="5" t="n"/>
      <c r="F17" s="5" t="inlineStr">
        <is>
          <t>What type of research comparison does a PAGER scoping review of GenAI in nursing education say should be given priority?</t>
        </is>
      </c>
      <c r="G17" s="5" t="inlineStr">
        <is>
          <t>Comparative effectiveness research between AI-enhanced and conventional teaching methods should be given priority. The review also says longitudinal studies are needed to evaluate GenAI's impact on student outcomes and ethical decision-making.</t>
        </is>
      </c>
      <c r="H17" s="5" t="inlineStr">
        <is>
          <t>Patterns, advances, and gaps in using ChatGPT and similar technologies in nursing education: A PAGER scoping review, p. 8</t>
        </is>
      </c>
      <c r="I17" s="5" t="inlineStr">
        <is>
          <t>Longitudinal studies are needed to evaluate the impact of GenAI use on student outcomes and ethical decision-making. Comparative effectiveness research between AI-enhanced and conventional teaching methods should be given priority.</t>
        </is>
      </c>
      <c r="J17" s="5" t="b">
        <v>1</v>
      </c>
      <c r="K17" s="5" t="inlineStr"/>
      <c r="L17" s="5" t="b">
        <v>0</v>
      </c>
      <c r="M17" s="5" t="inlineStr">
        <is>
          <t>factual</t>
        </is>
      </c>
      <c r="N17" s="5" t="inlineStr">
        <is>
          <t>easy</t>
        </is>
      </c>
      <c r="O17" s="5" t="inlineStr">
        <is>
          <t>monitoring_improvement</t>
        </is>
      </c>
      <c r="P17" s="5" t="n">
        <v>5</v>
      </c>
      <c r="Q17" s="5" t="b">
        <v>1</v>
      </c>
      <c r="R17" s="5" t="inlineStr">
        <is>
          <t>Both sentences of the answer directly restate the evidence: the priority on comparative effectiveness research between AI-enhanced and conventional teaching, and the need for longitudinal studies. | The question identifies the source by its content (a PAGER scoping review of GenAI in nursing education) and asks a clear question. PAGER is a named review framework, and GenAI is a widely understood term.</t>
        </is>
      </c>
      <c r="S17" s="5" t="inlineStr">
        <is>
          <t>In a PAGER scoping review on GenAI in nursing education, what comparison should research prioritise?</t>
        </is>
      </c>
      <c r="T17" s="5" t="inlineStr">
        <is>
          <t>In a PAGER scoping review of generative AI in nursing education, which kind of comparative research is identified as a priority?</t>
        </is>
      </c>
      <c r="U17" s="5" t="inlineStr"/>
      <c r="V17" s="5" t="inlineStr"/>
      <c r="W17" s="5" t="inlineStr"/>
      <c r="X17" s="5" t="inlineStr">
        <is>
          <t>pilot</t>
        </is>
      </c>
      <c r="Y17" s="5" t="inlineStr">
        <is>
          <t>patterns-advances-and-gaps-in-using-chatgpt-and:0016:q3</t>
        </is>
      </c>
    </row>
    <row r="18">
      <c r="A18" s="5" t="n">
        <v>17</v>
      </c>
      <c r="B18" s="5" t="b">
        <v>1</v>
      </c>
      <c r="C18" s="6" t="n"/>
      <c r="D18" s="6" t="n"/>
      <c r="E18" s="5" t="n"/>
      <c r="F18" s="5" t="inlineStr">
        <is>
          <t>A university wants to add AI tools to its entrepreneurship courses so students practice decisions safely, refine business plans, and work better in teams. What benefits do empirical findings report for such tools?</t>
        </is>
      </c>
      <c r="G18" s="5" t="inlineStr">
        <is>
          <t>AI-driven simulation systems let students practice entrepreneurial decision-making in a low-risk environment with instant feedback and improve their handling of complex business scenarios. Integrating AI tools into courses supports students' understanding and optimization of business plans and improves their adaptability to market dynamics. AI-driven creativity generation systems facilitate idea generation among team members, promote interdisciplinary collaboration, improve innovation performance, and streamline teamwork.</t>
        </is>
      </c>
      <c r="H18" s="5" t="inlineStr">
        <is>
          <t>Toward understanding the role of generative AI in entrepreneurship education: A systematic review, p. 14</t>
        </is>
      </c>
      <c r="I18" s="5" t="inlineStr">
        <is>
          <t>AI-driven entrepreneurial simulation systems enable students to practice entrepreneurial decision-making in a low-risk environment, providing instant feedback and improving their ability to handle complex business scenarios (Chen et al., 2022; Mavlutova et al., 2020; Nowak, 2020). … Empirical studies indicate that integrating AI-powered tools into EE courses supports students' understanding and optimization of business plans, while also improving their adaptability to market dynamics (Fox et al., 2024; Hammoda, 2024; Jing &amp; Jan 2022; Voronov et al., 2023). … For instance, AI-driven creativity generation systems facilitate idea generation among team members, promote interdisciplinary collaboration, improve innovation performance, and streamline teamwork processes (Kinnula et al., 2024; Somia &amp; Vecchiarini, 2024).</t>
        </is>
      </c>
      <c r="J18" s="5" t="b">
        <v>1</v>
      </c>
      <c r="K18" s="5" t="inlineStr"/>
      <c r="L18" s="5" t="b">
        <v>0</v>
      </c>
      <c r="M18" s="5" t="inlineStr">
        <is>
          <t>application</t>
        </is>
      </c>
      <c r="N18" s="5" t="inlineStr">
        <is>
          <t>hard</t>
        </is>
      </c>
      <c r="O18" s="5" t="inlineStr">
        <is>
          <t>teaching_learning</t>
        </is>
      </c>
      <c r="P18" s="5" t="n">
        <v>5</v>
      </c>
      <c r="Q18" s="5" t="b">
        <v>1</v>
      </c>
      <c r="R18" s="5" t="inlineStr">
        <is>
          <t>Every statement in the answer closely restates the evidence: low-risk simulation with instant feedback, business plan understanding and optimization with market adaptability, and creativity systems that aid idea generation, collaboration, innovation and teamwork. | The question describes a concrete scenario and asks what empirical findings report, without referring to unseen context or using undefined acronyms.</t>
        </is>
      </c>
      <c r="S18" s="5" t="inlineStr">
        <is>
          <t>An entrepreneurship program is considering AI tools for safe decision practice, business plan improvement, and teamwork. What benefits are reported?</t>
        </is>
      </c>
      <c r="T18" s="5" t="inlineStr">
        <is>
          <t>If a university integrates AI into entrepreneurship courses for simulated decision-making, business plan work, and team collaboration, what outcomes does research report?</t>
        </is>
      </c>
      <c r="U18" s="5" t="inlineStr"/>
      <c r="V18" s="5" t="inlineStr"/>
      <c r="W18" s="5" t="inlineStr"/>
      <c r="X18" s="5" t="inlineStr">
        <is>
          <t>pilot</t>
        </is>
      </c>
      <c r="Y18" s="5" t="inlineStr">
        <is>
          <t>toward-understanding-the-role-of-generative-ai:0024:q4</t>
        </is>
      </c>
    </row>
    <row r="19">
      <c r="A19" s="5" t="n">
        <v>18</v>
      </c>
      <c r="B19" s="5" t="b">
        <v>1</v>
      </c>
      <c r="C19" s="6" t="n"/>
      <c r="D19" s="6" t="n"/>
      <c r="E19" s="5" t="n"/>
      <c r="F19" s="5" t="inlineStr">
        <is>
          <t>Why do questions about the generalizability and fairness of AI grading remain unanswered in the existing research literature?</t>
        </is>
      </c>
      <c r="G19" s="5" t="inlineStr">
        <is>
          <t>Few studies examine cross-disciplinary consistency or assess variability across different levels of student performance. This leaves unanswered questions about the generalizability and fairness of AI grading.</t>
        </is>
      </c>
      <c r="H19" s="5" t="inlineStr">
        <is>
          <t>Reliable but not rigorous: Evaluating ChatGPT's reliability, validity, and bias in automated academic grading, p. 2</t>
        </is>
      </c>
      <c r="I19" s="5" t="inlineStr">
        <is>
          <t>Furthermore, few studies examine cross-disciplinary consistency or assess variability across different levels of student performance, leaving unanswered questions about the generalizability and fairness of AI grading (Najafi et al., 2025).</t>
        </is>
      </c>
      <c r="J19" s="5" t="b">
        <v>1</v>
      </c>
      <c r="K19" s="5" t="inlineStr"/>
      <c r="L19" s="5" t="b">
        <v>0</v>
      </c>
      <c r="M19" s="5" t="inlineStr">
        <is>
          <t>explanation</t>
        </is>
      </c>
      <c r="N19" s="5" t="inlineStr">
        <is>
          <t>medium</t>
        </is>
      </c>
      <c r="O19" s="5" t="inlineStr">
        <is>
          <t>equity_accessibility</t>
        </is>
      </c>
      <c r="P19" s="5" t="n">
        <v>5</v>
      </c>
      <c r="Q19" s="5" t="b">
        <v>1</v>
      </c>
      <c r="R19" s="5" t="inlineStr">
        <is>
          <t>The answer directly restates the evidence: few studies examine cross-disciplinary consistency or variability across performance levels, leaving generalizability and fairness questions unanswered. | The question is self-contained. Its mention of 'the existing research literature' is general and does not point to unseen context.</t>
        </is>
      </c>
      <c r="S19" s="5" t="inlineStr">
        <is>
          <t>What gaps in prior studies leave the generalizability and fairness of AI grading unresolved?</t>
        </is>
      </c>
      <c r="T19" s="5" t="inlineStr">
        <is>
          <t>Why is it still unclear whether AI grading is generalizable and fair, given what existing studies have examined?</t>
        </is>
      </c>
      <c r="U19" s="5" t="inlineStr"/>
      <c r="V19" s="5" t="inlineStr"/>
      <c r="W19" s="5" t="inlineStr"/>
      <c r="X19" s="5" t="inlineStr">
        <is>
          <t>extra:assessment</t>
        </is>
      </c>
      <c r="Y19" s="5" t="inlineStr">
        <is>
          <t>reliable-but-not-rigorous-evaluating-chatgpt-s:0002:q4</t>
        </is>
      </c>
    </row>
    <row r="20">
      <c r="A20" s="5" t="n">
        <v>19</v>
      </c>
      <c r="B20" s="5" t="b">
        <v>1</v>
      </c>
      <c r="C20" s="6" t="n"/>
      <c r="D20" s="6" t="n"/>
      <c r="E20" s="5" t="n"/>
      <c r="F20" s="5" t="inlineStr">
        <is>
          <t>Why is it notable that only 15 Peruvian free legal aid clinics handle civil law cases?</t>
        </is>
      </c>
      <c r="G20" s="5" t="inlineStr">
        <is>
          <t>Only 15 of the clinics indicated that they deal with civil law cases, which is an unusual number given that civil law is the most common area of practice in Peru. By comparison, 24 of the 31 clinics provided family law services and 16 provided criminal law representation.</t>
        </is>
      </c>
      <c r="H20" s="5" t="inlineStr">
        <is>
          <t>Socially Responsible Higher Education, p. 223</t>
        </is>
      </c>
      <c r="I20" s="5" t="inlineStr">
        <is>
          <t>Surprisingly, only 15 of the clinics indicated that they deal with civil law cases - an unusual number given that civil law is the most common area of practice in Peru. … Fourth, in terms of the areas of the law that clinics work on, most free legal aid clinics (22 universities) accept cases of varying nature. Out of the 31 clinics, 24 free legal aid clinics provided services in family law and 16 provided representation in criminal law cases.</t>
        </is>
      </c>
      <c r="J20" s="5" t="b">
        <v>1</v>
      </c>
      <c r="K20" s="5" t="inlineStr"/>
      <c r="L20" s="5" t="b">
        <v>0</v>
      </c>
      <c r="M20" s="5" t="inlineStr">
        <is>
          <t>explanation</t>
        </is>
      </c>
      <c r="N20" s="5" t="inlineStr">
        <is>
          <t>medium</t>
        </is>
      </c>
      <c r="O20" s="5" t="inlineStr">
        <is>
          <t>general</t>
        </is>
      </c>
      <c r="P20" s="5" t="n">
        <v>5</v>
      </c>
      <c r="Q20" s="5" t="b">
        <v>1</v>
      </c>
      <c r="R20" s="5" t="inlineStr">
        <is>
          <t>Every statement matches the evidence: the 15 civil-law clinics, civil law being the most common practice area in Peru, and the 24 family-law and 16 criminal-law clinics out of 31. The comparison is only a framing device and adds no claim. | The question names its subject (Peruvian free legal aid clinics) and the specific figure, so it makes sense without the source.</t>
        </is>
      </c>
      <c r="S20" s="5" t="inlineStr">
        <is>
          <t>What makes the low number of Peruvian clinics (15) handling civil law cases surprising?</t>
        </is>
      </c>
      <c r="T20" s="5" t="inlineStr">
        <is>
          <t>Why is it described as unusual that just 15 Peruvian legal clinics deal with civil law?</t>
        </is>
      </c>
      <c r="U20" s="5" t="inlineStr"/>
      <c r="V20" s="5" t="inlineStr"/>
      <c r="W20" s="5" t="inlineStr"/>
      <c r="X20" s="5" t="inlineStr">
        <is>
          <t>pilot</t>
        </is>
      </c>
      <c r="Y20" s="5" t="inlineStr">
        <is>
          <t>budd-l-hall-rajesh-2021-socially-responsible:0120:q3</t>
        </is>
      </c>
    </row>
    <row r="21">
      <c r="A21" s="5" t="n">
        <v>20</v>
      </c>
      <c r="B21" s="5" t="b">
        <v>1</v>
      </c>
      <c r="C21" s="6" t="n"/>
      <c r="D21" s="6" t="n"/>
      <c r="E21" s="5" t="n"/>
      <c r="F21" s="5" t="inlineStr">
        <is>
          <t>What steps are recommended for Arab countries with limited resources and inadequate understanding of AI in teaching?</t>
        </is>
      </c>
      <c r="G21" s="5" t="inlineStr">
        <is>
          <t>Such countries should invest in AI, establish public-private partnerships for AI regulation, and reskill and upskill their workforces. They should also collaborate with other Arab countries for mutual support.</t>
        </is>
      </c>
      <c r="H21" s="5" t="inlineStr">
        <is>
          <t>Higher Education in the Arab World, p. 97</t>
        </is>
      </c>
      <c r="I21" s="5" t="inlineStr">
        <is>
          <t>Invest in AI
Establish public-private partnerships for AI regulation
Reskill and upskill their workforces
Collaborate with other Arab countries for mutual support.</t>
        </is>
      </c>
      <c r="J21" s="5" t="b">
        <v>1</v>
      </c>
      <c r="K21" s="5" t="inlineStr"/>
      <c r="L21" s="5" t="b">
        <v>0</v>
      </c>
      <c r="M21" s="5" t="inlineStr">
        <is>
          <t>factual</t>
        </is>
      </c>
      <c r="N21" s="5" t="inlineStr">
        <is>
          <t>easy</t>
        </is>
      </c>
      <c r="O21" s="5" t="inlineStr">
        <is>
          <t>leadership_strategy</t>
        </is>
      </c>
      <c r="P21" s="5" t="n">
        <v>4</v>
      </c>
      <c r="Q21" s="5" t="b">
        <v>1</v>
      </c>
      <c r="R21" s="5" t="inlineStr">
        <is>
          <t>All four steps in the answer appear directly in the evidence and are only trivially reworded. The evidence itself does not mention resource-limited countries or inadequate understanding of AI, but the answer adds no new claim about that context. | The question names its subject, Arab countries with limited resources and inadequate understanding of AI in teaching, and does not depend on unseen context.</t>
        </is>
      </c>
      <c r="S21" s="5" t="inlineStr">
        <is>
          <t>Which actions should some resource-limited Arab countries take when their understanding of AI in teaching is inadequate?</t>
        </is>
      </c>
      <c r="T21" s="5" t="inlineStr">
        <is>
          <t>What recommendations are given to Arab countries that have limited resources and lack understanding of AI use in teaching?</t>
        </is>
      </c>
      <c r="U21" s="5" t="inlineStr"/>
      <c r="V21" s="5" t="inlineStr"/>
      <c r="W21" s="5" t="inlineStr"/>
      <c r="X21" s="5" t="inlineStr">
        <is>
          <t>extra:faculty_readiness</t>
        </is>
      </c>
      <c r="Y21" s="5" t="inlineStr">
        <is>
          <t>higher-education-in-arab:0053:q4</t>
        </is>
      </c>
    </row>
    <row r="22">
      <c r="A22" s="5" t="n">
        <v>21</v>
      </c>
      <c r="B22" s="5" t="b">
        <v>1</v>
      </c>
      <c r="C22" s="6" t="n"/>
      <c r="D22" s="6" t="n"/>
      <c r="E22" s="5" t="n"/>
      <c r="F22" s="5" t="inlineStr">
        <is>
          <t>What does Stakeholder Theory conceptualize organizations as, and what kind of governance does it advocate in contrast to shareholder-centric models?</t>
        </is>
      </c>
      <c r="G22" s="5" t="inlineStr">
        <is>
          <t>Stakeholder Theory conceptualizes organizations as entities embedded within complex environments composed of multiple actors with distinct interests, varying degrees of influence, and legitimate claims on organizational outcomes. In contrast to shareholder-centric models, it advocates inclusive governance that responds to the expectations of diverse stakeholders.</t>
        </is>
      </c>
      <c r="H22" s="5" t="inlineStr">
        <is>
          <t>Stakeholder engagement and strategic innovation in higher education through AI competency, p. 4</t>
        </is>
      </c>
      <c r="I22" s="5" t="inlineStr">
        <is>
          <t>Stakeholder Theory conceptualizes organizations as entities embedded within complex environments composed of multiple actors who possess distinct interests, varying degrees of influence, and legitimate claims on organizational outcomes (Freeman, 1984; Freeman &amp; McVea, 2005). In contrast to shareholder-centric models, it advocates for inclusive governance that responds to the expectations of diverse stakeholders.</t>
        </is>
      </c>
      <c r="J22" s="5" t="b">
        <v>1</v>
      </c>
      <c r="K22" s="5" t="inlineStr"/>
      <c r="L22" s="5" t="b">
        <v>0</v>
      </c>
      <c r="M22" s="5" t="inlineStr">
        <is>
          <t>definition</t>
        </is>
      </c>
      <c r="N22" s="5" t="inlineStr">
        <is>
          <t>medium</t>
        </is>
      </c>
      <c r="O22" s="5" t="inlineStr">
        <is>
          <t>governance</t>
        </is>
      </c>
      <c r="P22" s="5" t="n">
        <v>5</v>
      </c>
      <c r="Q22" s="5" t="b">
        <v>1</v>
      </c>
      <c r="R22" s="5" t="inlineStr">
        <is>
          <t>The answer restates the evidence almost verbatim. Every statement, including the embedded-entity conceptualization and the inclusive-governance contrast, is directly supported. | The question names Stakeholder Theory explicitly and refers to no unseen context.</t>
        </is>
      </c>
      <c r="S22" s="5" t="inlineStr">
        <is>
          <t>How does Stakeholder Theory view organizations, and what governance does it favor over shareholder-centric models?</t>
        </is>
      </c>
      <c r="T22" s="5" t="inlineStr">
        <is>
          <t>In Stakeholder Theory, what is an organization understood to be, and which governance approach is advocated instead of shareholder-centric models?</t>
        </is>
      </c>
      <c r="U22" s="5" t="inlineStr"/>
      <c r="V22" s="5" t="inlineStr"/>
      <c r="W22" s="5" t="inlineStr"/>
      <c r="X22" s="5" t="inlineStr">
        <is>
          <t>extra:leadership_strategy</t>
        </is>
      </c>
      <c r="Y22" s="5" t="inlineStr">
        <is>
          <t>stakeholder-engagement-and-strategic-innovation:0006:q3</t>
        </is>
      </c>
    </row>
    <row r="23">
      <c r="A23" s="5" t="n">
        <v>22</v>
      </c>
      <c r="B23" s="5" t="b">
        <v>1</v>
      </c>
      <c r="C23" s="6" t="n"/>
      <c r="D23" s="6" t="n"/>
      <c r="E23" s="5" t="n"/>
      <c r="F23" s="5" t="inlineStr">
        <is>
          <t>A university wants to identify students at risk of dropping out without relying only on grades. What data sources could it combine, and what could it then do?</t>
        </is>
      </c>
      <c r="G23" s="5" t="inlineStr">
        <is>
          <t>An institution can use disparate data sources such as grades, timing of assignment submissions, Wi-Fi usage and use of university resources like the library and canteens. With these it can identify students at risk and provide suitable interventions.</t>
        </is>
      </c>
      <c r="H23" s="5" t="inlineStr">
        <is>
          <t>Augmented Education in the Global Age: Artificial Intelligence and the Future of Learning and Work, p. 146</t>
        </is>
      </c>
      <c r="I23" s="5" t="inlineStr">
        <is>
          <t>Using disparate data sources, such as grades, timing of assignment submissions, as well as Wi-Fi usage and use of university resources (library, canteens, etc.), an institution can identify students at risk and provide suitable interventions.</t>
        </is>
      </c>
      <c r="J23" s="5" t="b">
        <v>1</v>
      </c>
      <c r="K23" s="5" t="inlineStr"/>
      <c r="L23" s="5" t="b">
        <v>0</v>
      </c>
      <c r="M23" s="5" t="inlineStr">
        <is>
          <t>application</t>
        </is>
      </c>
      <c r="N23" s="5" t="inlineStr">
        <is>
          <t>hard</t>
        </is>
      </c>
      <c r="O23" s="5" t="inlineStr">
        <is>
          <t>student_ai_literacy</t>
        </is>
      </c>
      <c r="P23" s="5" t="n">
        <v>5</v>
      </c>
      <c r="Q23" s="5" t="b">
        <v>1</v>
      </c>
      <c r="R23" s="5" t="inlineStr">
        <is>
          <t>Every statement in the answer restates the evidence directly: grades, assignment submission timing, Wi-Fi usage and library/canteen use, followed by identifying at-risk students and providing interventions. | The question describes a concrete scenario and does not refer to unseen context or undefined terms.</t>
        </is>
      </c>
      <c r="S23" s="5" t="inlineStr">
        <is>
          <t>Which disparate data sources could an institution combine beyond grades to spot at-risk students, and what can it do afterward?</t>
        </is>
      </c>
      <c r="T23" s="5" t="inlineStr">
        <is>
          <t>If a university wants to find at-risk students using more than grades, what data can it draw together and what action can follow?</t>
        </is>
      </c>
      <c r="U23" s="5" t="inlineStr"/>
      <c r="V23" s="5" t="inlineStr"/>
      <c r="W23" s="5" t="inlineStr"/>
      <c r="X23" s="5" t="inlineStr">
        <is>
          <t>extra:procurement_technology</t>
        </is>
      </c>
      <c r="Y23" s="5" t="inlineStr">
        <is>
          <t>daniel-araya-peter-2023-augmented-education-in:0075:q0</t>
        </is>
      </c>
    </row>
    <row r="24">
      <c r="A24" s="5" t="n">
        <v>23</v>
      </c>
      <c r="B24" s="5" t="b">
        <v>1</v>
      </c>
      <c r="C24" s="6" t="n"/>
      <c r="D24" s="6" t="n"/>
      <c r="E24" s="5" t="n"/>
      <c r="F24" s="5" t="inlineStr">
        <is>
          <t>In a systematic review of generative AI in entrepreneurship education, what does Research Proposition 1 state about GAI-enabled personalized feedback and entrepreneurial intention?</t>
        </is>
      </c>
      <c r="G24" s="5" t="inlineStr">
        <is>
          <t>Research Proposition 1 holds that the effect of GAI-enabled personalized feedback on entrepreneurial intention is mediated by entrepreneurial self-efficacy. It is moderated by institutional support, digital literacy, and prior entrepreneurial experience.</t>
        </is>
      </c>
      <c r="H24" s="5" t="inlineStr">
        <is>
          <t>Toward understanding the role of generative AI in entrepreneurship education: A systematic review, p. 19</t>
        </is>
      </c>
      <c r="I24" s="5" t="inlineStr">
        <is>
          <t>Research Proposition 1: The effect of GAI-enabled personalized feedback on entrepreneurial intention is mediated by entrepreneurial self-efficacy and moderated by institutional support, digital literacy, and prior entrepreneurial experience.</t>
        </is>
      </c>
      <c r="J24" s="5" t="b">
        <v>1</v>
      </c>
      <c r="K24" s="5" t="inlineStr"/>
      <c r="L24" s="5" t="b">
        <v>0</v>
      </c>
      <c r="M24" s="5" t="inlineStr">
        <is>
          <t>definition</t>
        </is>
      </c>
      <c r="N24" s="5" t="inlineStr">
        <is>
          <t>medium</t>
        </is>
      </c>
      <c r="O24" s="5" t="inlineStr">
        <is>
          <t>teaching_learning</t>
        </is>
      </c>
      <c r="P24" s="5" t="n">
        <v>5</v>
      </c>
      <c r="Q24" s="5" t="b">
        <v>1</v>
      </c>
      <c r="R24" s="5" t="inlineStr">
        <is>
          <t>The answer directly restates the proposition: the effect is mediated by entrepreneurial self-efficacy and moderated by institutional support, digital literacy, and prior entrepreneurial experience. | The question names the systematic review by its topic and specifies the proposition it asks about. GAI is defined in context as generative AI, so the question is clear without the source.</t>
        </is>
      </c>
      <c r="S24" s="5" t="inlineStr">
        <is>
          <t>What relationship does Research Proposition 1 propose between GAI-enabled personalized feedback and entrepreneurial intention in a review of generative AI in entrepreneurship education?</t>
        </is>
      </c>
      <c r="T24" s="5" t="inlineStr">
        <is>
          <t>In a systematic review on generative AI in entrepreneurship education, how does Research Proposition 1 describe the effect of GAI-enabled personalized feedback on entrepreneurial intention?</t>
        </is>
      </c>
      <c r="U24" s="5" t="inlineStr"/>
      <c r="V24" s="5" t="inlineStr"/>
      <c r="W24" s="5" t="inlineStr"/>
      <c r="X24" s="5" t="inlineStr">
        <is>
          <t>pilot</t>
        </is>
      </c>
      <c r="Y24" s="5" t="inlineStr">
        <is>
          <t>toward-understanding-the-role-of-generative-ai:0033:q1</t>
        </is>
      </c>
    </row>
    <row r="25">
      <c r="A25" s="5" t="n">
        <v>24</v>
      </c>
      <c r="B25" s="5" t="b">
        <v>1</v>
      </c>
      <c r="C25" s="6" t="n"/>
      <c r="D25" s="6" t="n"/>
      <c r="E25" s="5" t="n"/>
      <c r="F25" s="5" t="inlineStr">
        <is>
          <t>How much did enrollment in graduation courses in Brazil rise between 2008 and 2018, and what share was in private institutions in 2018?</t>
        </is>
      </c>
      <c r="G25" s="5" t="inlineStr">
        <is>
          <t>Enrollment in graduation courses in Brazil increased by 44.6% between 2008 and 2018, from 5,843,322 to 8,451,748 students. In 2018, 75% of enrollments were in private institutions.</t>
        </is>
      </c>
      <c r="H25" s="5" t="inlineStr">
        <is>
          <t>Socially Responsible Higher Education, p. 51</t>
        </is>
      </c>
      <c r="I25" s="5" t="inlineStr">
        <is>
          <t>Between 2008 and 2018, enrolment in graduation courses increased by 44.6%, from 5,843,322 to 8,451,748 students; the percentage of new entrants rose by 47.4%, from 2,336,899 to 3,445,935, and the number og graduate students grew by 45%, from 870,386 to 1,264,288. There is a higher concentration of enrollments in private institutions - in 2018, 75% of the enrollments were in private institutions.</t>
        </is>
      </c>
      <c r="J25" s="5" t="b">
        <v>1</v>
      </c>
      <c r="K25" s="5" t="inlineStr"/>
      <c r="L25" s="5" t="b">
        <v>0</v>
      </c>
      <c r="M25" s="5" t="inlineStr">
        <is>
          <t>factual</t>
        </is>
      </c>
      <c r="N25" s="5" t="inlineStr">
        <is>
          <t>easy</t>
        </is>
      </c>
      <c r="O25" s="5" t="inlineStr">
        <is>
          <t>equity_accessibility</t>
        </is>
      </c>
      <c r="P25" s="5" t="n">
        <v>4</v>
      </c>
      <c r="Q25" s="5" t="b">
        <v>1</v>
      </c>
      <c r="R25" s="5" t="inlineStr">
        <is>
          <t>The evidence directly gives the 44.6% rise from 5,843,322 to 8,451,748 students and the 75% private share in 2018. The evidence does not explicitly say these figures are for Brazil; the answer adds that from context, which is trivial. | The question names Brazil, the time period and the metrics, and does not refer to any unseen context.</t>
        </is>
      </c>
      <c r="S25" s="5" t="inlineStr">
        <is>
          <t>By what percentage did Brazilian graduation-course enrollment grow from 2008 to 2018, and what proportion was enrolled in private institutions in 2018?</t>
        </is>
      </c>
      <c r="T25" s="5" t="inlineStr">
        <is>
          <t>What was the 2008–2018 growth in Brazil's graduation course enrollment, and how much of 2018 enrollment was private?</t>
        </is>
      </c>
      <c r="U25" s="5" t="inlineStr"/>
      <c r="V25" s="5" t="inlineStr"/>
      <c r="W25" s="5" t="inlineStr"/>
      <c r="X25" s="5" t="inlineStr">
        <is>
          <t>pilot</t>
        </is>
      </c>
      <c r="Y25" s="5" t="inlineStr">
        <is>
          <t>budd-l-hall-rajesh-2021-socially-responsible:0027:q4</t>
        </is>
      </c>
    </row>
    <row r="26">
      <c r="A26" s="5" t="n">
        <v>25</v>
      </c>
      <c r="B26" s="5" t="b">
        <v>1</v>
      </c>
      <c r="C26" s="6" t="n"/>
      <c r="D26" s="6" t="n"/>
      <c r="E26" s="5" t="n"/>
      <c r="F26" s="5" t="inlineStr">
        <is>
          <t>A university wants to build AI competencies for teacher development and to ensure expert consensus on digital competencies for an information systems program. Which existing approaches are described for each need?</t>
        </is>
      </c>
      <c r="G26" s="5" t="inlineStr">
        <is>
          <t>Celik (2023) extended the TPACK model to include AI competencies for teacher development. Leidig et al. (2020) used a Delphi method, ensuring expert consensus on digital competencies for information systems programs.</t>
        </is>
      </c>
      <c r="H26" s="5" t="inlineStr">
        <is>
          <t>Be AIware! An AI Competency Model for K-12 Education, p. 3</t>
        </is>
      </c>
      <c r="I26" s="5" t="inlineStr">
        <is>
          <t>Celik (2023) extended the TPACK model to include AI competencies for teacher development … Leidig et al. (2020) used a Delphi method, ensuring expert consensus on digital competencies for information systems programs.</t>
        </is>
      </c>
      <c r="J26" s="5" t="b">
        <v>1</v>
      </c>
      <c r="K26" s="5" t="inlineStr"/>
      <c r="L26" s="5" t="b">
        <v>0</v>
      </c>
      <c r="M26" s="5" t="inlineStr">
        <is>
          <t>application</t>
        </is>
      </c>
      <c r="N26" s="5" t="inlineStr">
        <is>
          <t>hard</t>
        </is>
      </c>
      <c r="O26" s="5" t="inlineStr">
        <is>
          <t>faculty_readiness</t>
        </is>
      </c>
      <c r="P26" s="5" t="n">
        <v>5</v>
      </c>
      <c r="Q26" s="5" t="b">
        <v>1</v>
      </c>
      <c r="R26" s="5" t="inlineStr">
        <is>
          <t>The answer repeats the evidence almost word for word: Celik (2023) extending TPACK with AI competencies, and Leidig et al. (2020) using a Delphi method for expert consensus. | The question describes a self-contained scenario with clear needs and does not refer to any unseen source or context.</t>
        </is>
      </c>
      <c r="S26" s="5" t="inlineStr">
        <is>
          <t>A university needs AI competencies for training teachers and expert-agreed digital competencies for an information systems program. Which prior approaches address each?</t>
        </is>
      </c>
      <c r="T26" s="5" t="inlineStr">
        <is>
          <t>Which existing work could a university draw on for teacher AI competency development, and which for expert consensus on information systems digital competencies?</t>
        </is>
      </c>
      <c r="U26" s="5" t="inlineStr"/>
      <c r="V26" s="5" t="inlineStr"/>
      <c r="W26" s="5" t="inlineStr"/>
      <c r="X26" s="5" t="inlineStr">
        <is>
          <t>pilot</t>
        </is>
      </c>
      <c r="Y26" s="5" t="inlineStr">
        <is>
          <t>be-aiware-an-ai-competency-model-for-k-12:0004:q3</t>
        </is>
      </c>
    </row>
    <row r="27">
      <c r="A27" s="5" t="n">
        <v>26</v>
      </c>
      <c r="B27" s="5" t="b">
        <v>1</v>
      </c>
      <c r="C27" s="6" t="n"/>
      <c r="D27" s="6" t="n"/>
      <c r="E27" s="5" t="n"/>
      <c r="F27" s="5" t="inlineStr">
        <is>
          <t>Why should general claims that AI grading is effective be tempered, according to empirical evidence on AI grading performance?</t>
        </is>
      </c>
      <c r="G27" s="5" t="inlineStr">
        <is>
          <t>Empirical evidence indicates that AI grading performance varies by task type, discipline, and contextual alignment with assessment rubrics. This suggests that general claims of AI efficacy must be tempered by task-specific evaluation. For example, AI performs reliably in structured tasks, but its accuracy declines in open-ended or creative assignments where nuanced contextual understanding is required.</t>
        </is>
      </c>
      <c r="H27" s="5" t="inlineStr">
        <is>
          <t>Reliable but not rigorous: Evaluating ChatGPT's reliability, validity, and bias in automated academic grading, p. 2</t>
        </is>
      </c>
      <c r="I27" s="5" t="inlineStr">
        <is>
          <t>Empirical evidence indicates that AI grading performance varies by task type, discipline, and contextual alignment with assessment rubrics, suggesting that general claims of AI efficacy must be tempered by task-specific evaluation (Condor, 2024). … While AI performs reliably in structured tasks, its accuracy declines in openended or creative assignments, where nuanced contextual understanding is required (Lo et al., 2025).</t>
        </is>
      </c>
      <c r="J27" s="5" t="b">
        <v>1</v>
      </c>
      <c r="K27" s="5" t="inlineStr"/>
      <c r="L27" s="5" t="b">
        <v>0</v>
      </c>
      <c r="M27" s="5" t="inlineStr">
        <is>
          <t>explanation</t>
        </is>
      </c>
      <c r="N27" s="5" t="inlineStr">
        <is>
          <t>medium</t>
        </is>
      </c>
      <c r="O27" s="5" t="inlineStr">
        <is>
          <t>assessment</t>
        </is>
      </c>
      <c r="P27" s="5" t="n">
        <v>4</v>
      </c>
      <c r="Q27" s="5" t="b">
        <v>1</v>
      </c>
      <c r="R27" s="5" t="inlineStr">
        <is>
          <t>Every claim restates the evidence. The only addition is the 'For example' connective, which presents the Lo et al. finding as an illustration of the Condor claim. This is a minor framing link the source does not make explicitly. | The question clearly asks why general claims of AI grading effectiveness should be tempered according to empirical evidence. It does not rely on any unseen context.</t>
        </is>
      </c>
      <c r="S27" s="5" t="inlineStr">
        <is>
          <t>Why must claims about the efficacy of AI grading be backed by task-specific evaluation rather than made generally?</t>
        </is>
      </c>
      <c r="T27" s="5" t="inlineStr">
        <is>
          <t>What reason is there to moderate sweeping statements that AI grading works well, based on empirical findings about how AI grading performs?</t>
        </is>
      </c>
      <c r="U27" s="5" t="inlineStr"/>
      <c r="V27" s="5" t="inlineStr"/>
      <c r="W27" s="5" t="inlineStr"/>
      <c r="X27" s="5" t="inlineStr">
        <is>
          <t>extra:assessment</t>
        </is>
      </c>
      <c r="Y27" s="5" t="inlineStr">
        <is>
          <t>reliable-but-not-rigorous-evaluating-chatgpt-s:0002:q1</t>
        </is>
      </c>
    </row>
    <row r="28">
      <c r="A28" s="5" t="n">
        <v>27</v>
      </c>
      <c r="B28" s="5" t="b">
        <v>1</v>
      </c>
      <c r="C28" s="6" t="n"/>
      <c r="D28" s="6" t="n"/>
      <c r="E28" s="5" t="n"/>
      <c r="F28" s="5" t="inlineStr">
        <is>
          <t>How do AI-powered business plan evaluation systems increase students' entrepreneurial confidence?</t>
        </is>
      </c>
      <c r="G28" s="5" t="inlineStr">
        <is>
          <t>These systems provide intelligent feedback that helps students better understand critical aspects of business model development and market analysis. This in turn increases their entrepreneurial confidence.</t>
        </is>
      </c>
      <c r="H28" s="5" t="inlineStr">
        <is>
          <t>Toward understanding the role of generative AI in entrepreneurship education: A systematic review, p. 14</t>
        </is>
      </c>
      <c r="I28" s="5" t="inlineStr">
        <is>
          <t>For example, AI-powered business plan evaluation systems provide intelligent feedback, helping students better understand critical aspects of business model development and market analysis, thereby increasing their entrepreneurial confidence (Lesinskis et al., 2023; T. Nuseir et al., 2020).</t>
        </is>
      </c>
      <c r="J28" s="5" t="b">
        <v>1</v>
      </c>
      <c r="K28" s="5" t="inlineStr"/>
      <c r="L28" s="5" t="b">
        <v>0</v>
      </c>
      <c r="M28" s="5" t="inlineStr">
        <is>
          <t>explanation</t>
        </is>
      </c>
      <c r="N28" s="5" t="inlineStr">
        <is>
          <t>medium</t>
        </is>
      </c>
      <c r="O28" s="5" t="inlineStr">
        <is>
          <t>teaching_learning</t>
        </is>
      </c>
      <c r="P28" s="5" t="n">
        <v>5</v>
      </c>
      <c r="Q28" s="5" t="b">
        <v>1</v>
      </c>
      <c r="R28" s="5" t="inlineStr">
        <is>
          <t>Every statement in the answer is directly stated in the evidence: the systems give intelligent feedback, which builds understanding of business model development and market analysis, which increases entrepreneurial confidence. | The question names a specific kind of system and outcome, and it contains no references to unseen context.</t>
        </is>
      </c>
      <c r="S28" s="5" t="inlineStr">
        <is>
          <t>By what mechanism do AI business plan evaluation systems raise students' entrepreneurial confidence?</t>
        </is>
      </c>
      <c r="T28" s="5" t="inlineStr">
        <is>
          <t>Why do AI-powered business plan evaluation systems boost entrepreneurial confidence in students?</t>
        </is>
      </c>
      <c r="U28" s="5" t="inlineStr"/>
      <c r="V28" s="5" t="inlineStr"/>
      <c r="W28" s="5" t="inlineStr"/>
      <c r="X28" s="5" t="inlineStr">
        <is>
          <t>pilot</t>
        </is>
      </c>
      <c r="Y28" s="5" t="inlineStr">
        <is>
          <t>toward-understanding-the-role-of-generative-ai:0024:q3</t>
        </is>
      </c>
    </row>
    <row r="29">
      <c r="A29" s="5" t="n">
        <v>28</v>
      </c>
      <c r="B29" s="5" t="b">
        <v>1</v>
      </c>
      <c r="C29" s="6" t="n"/>
      <c r="D29" s="6" t="n"/>
      <c r="E29" s="5" t="n"/>
      <c r="F29" s="5" t="inlineStr">
        <is>
          <t>What AI literacy levels did faculty report in the 2025 Digital Education Council survey regarding beginners and advanced experts?</t>
        </is>
      </c>
      <c r="G29" s="5" t="inlineStr">
        <is>
          <t>In the 2025 survey, 40% of faculty reported having no understanding of AI or being beginners in developing AI literacy and skills. Only 17% indicated having advanced AI proficiency or being experts.</t>
        </is>
      </c>
      <c r="H29" s="5" t="inlineStr">
        <is>
          <t>Higher Education in the Arab World, p. 97</t>
        </is>
      </c>
      <c r="I29" s="5" t="inlineStr">
        <is>
          <t>40%of faculty reportedhavingnounderstandingor beingbeginners indeveloping AI literacy and skills; only 17% indicated having advanced AI proficiency or being experts</t>
        </is>
      </c>
      <c r="J29" s="5" t="b">
        <v>1</v>
      </c>
      <c r="K29" s="5" t="inlineStr"/>
      <c r="L29" s="5" t="b">
        <v>0</v>
      </c>
      <c r="M29" s="5" t="inlineStr">
        <is>
          <t>factual</t>
        </is>
      </c>
      <c r="N29" s="5" t="inlineStr">
        <is>
          <t>easy</t>
        </is>
      </c>
      <c r="O29" s="5" t="inlineStr">
        <is>
          <t>faculty_readiness</t>
        </is>
      </c>
      <c r="P29" s="5" t="n">
        <v>4</v>
      </c>
      <c r="Q29" s="5" t="b">
        <v>1</v>
      </c>
      <c r="R29" s="5" t="inlineStr">
        <is>
          <t>The figures match the evidence. The evidence excerpt does not mention 'the 2025 survey', but that comes from the question's framing, so this is only minor contextual rewording. | The question names the specific survey (Digital Education Council, 2025) and the categories it asks about, with no references to unseen context.</t>
        </is>
      </c>
      <c r="S29" s="5" t="inlineStr">
        <is>
          <t>In the Digital Education Council Global AI Faculty Survey 2025, what proportion of faculty reported no understanding or beginner AI literacy, and what proportion reported advanced proficiency?</t>
        </is>
      </c>
      <c r="T29" s="5" t="inlineStr">
        <is>
          <t>How did faculty rate their own AI literacy in the 2025 Digital Education Council survey, at the beginner and expert ends?</t>
        </is>
      </c>
      <c r="U29" s="5" t="inlineStr"/>
      <c r="V29" s="5" t="inlineStr"/>
      <c r="W29" s="5" t="inlineStr"/>
      <c r="X29" s="5" t="inlineStr">
        <is>
          <t>extra:faculty_readiness</t>
        </is>
      </c>
      <c r="Y29" s="5" t="inlineStr">
        <is>
          <t>higher-education-in-arab:0053:q3</t>
        </is>
      </c>
    </row>
    <row r="30">
      <c r="A30" s="5" t="n">
        <v>29</v>
      </c>
      <c r="B30" s="5" t="b">
        <v>1</v>
      </c>
      <c r="C30" s="6" t="n"/>
      <c r="D30" s="6" t="n"/>
      <c r="E30" s="5" t="n"/>
      <c r="F30" s="5" t="inlineStr">
        <is>
          <t>In research on AI-enabled assessment in Chinese universities, which meta-skills are universities under pressure to foster alongside integrating AI?</t>
        </is>
      </c>
      <c r="G30" s="5" t="inlineStr">
        <is>
          <t>Universities are under growing pressure to integrate AI while fostering meta-skills such as adaptability, collaboration, creativity and strategic thinking.</t>
        </is>
      </c>
      <c r="H30" s="5" t="inlineStr">
        <is>
          <t>AI-enabled assessment in higher education: Institutional culture and student meta-skill readiness across university tiers, p. 1</t>
        </is>
      </c>
      <c r="I30" s="5" t="inlineStr">
        <is>
          <t>Universities are under growing pressure to integrate artificial intelligence (AI) while fostering meta-skills such as adaptability, collaboration, creativity and strategic thinking.</t>
        </is>
      </c>
      <c r="J30" s="5" t="b">
        <v>1</v>
      </c>
      <c r="K30" s="5" t="inlineStr"/>
      <c r="L30" s="5" t="b">
        <v>0</v>
      </c>
      <c r="M30" s="5" t="inlineStr">
        <is>
          <t>definition</t>
        </is>
      </c>
      <c r="N30" s="5" t="inlineStr">
        <is>
          <t>easy</t>
        </is>
      </c>
      <c r="O30" s="5" t="inlineStr">
        <is>
          <t>student_ai_literacy</t>
        </is>
      </c>
      <c r="P30" s="5" t="n">
        <v>5</v>
      </c>
      <c r="Q30" s="5" t="b">
        <v>1</v>
      </c>
      <c r="R30" s="5" t="inlineStr">
        <is>
          <t>The answer restates the evidence sentence almost verbatim, naming adaptability, collaboration, creativity and strategic thinking. Nothing is added beyond the evidence. | The question identifies its source by content (research on AI-enabled assessment in Chinese universities) and does not depend on unseen references.</t>
        </is>
      </c>
      <c r="S30" s="5" t="inlineStr">
        <is>
          <t>In studies of AI-enabled assessment at universities in China, what meta-skills are institutions pressed to cultivate in addition to integrating AI?</t>
        </is>
      </c>
      <c r="T30" s="5" t="inlineStr">
        <is>
          <t>According to research on AI-enabled assessment in Chinese higher education, which meta-skills must universities foster while also integrating AI?</t>
        </is>
      </c>
      <c r="U30" s="5" t="inlineStr"/>
      <c r="V30" s="5" t="inlineStr"/>
      <c r="W30" s="5" t="inlineStr"/>
      <c r="X30" s="5" t="inlineStr">
        <is>
          <t>extra:assessment</t>
        </is>
      </c>
      <c r="Y30" s="5" t="inlineStr">
        <is>
          <t>ai-enabled-assessment-in-higher-education:0000:q0</t>
        </is>
      </c>
    </row>
    <row r="31">
      <c r="A31" s="5" t="n">
        <v>30</v>
      </c>
      <c r="B31" s="5" t="b">
        <v>1</v>
      </c>
      <c r="C31" s="6" t="n"/>
      <c r="D31" s="6" t="n"/>
      <c r="E31" s="5" t="n"/>
      <c r="F31" s="5" t="inlineStr">
        <is>
          <t>A university wants to reduce breaches caused by human error and strengthen its resilience against evolving threats. What approach to information security culture is recommended, and what benefits does it bring?</t>
        </is>
      </c>
      <c r="G31" s="5" t="inlineStr">
        <is>
          <t>Universities should embed cybersecurity norms through sustained awareness campaigns, role-based education, and continuous training so students, faculty, and staff understand their responsibilities and practice policies proactively. A pervasive information security culture builds shared accountability, reduces human-factor breaches, and strengthens institutional resilience against evolving threats.</t>
        </is>
      </c>
      <c r="H31" s="5" t="inlineStr">
        <is>
          <t>AI and Security in China’s Higher Education, p. 36</t>
        </is>
      </c>
      <c r="I31" s="5" t="inlineStr">
        <is>
          <t>Universities should embed cybersecurity norms through sustained awareness campaigns, role-based education, and continuous training so students, faculty, and staff understand their responsibilities and practice policies proactively. A pervasive ISC builds shared accountability, reduces human-factor breaches, and strengthens institutional resilience against evolving threats … A lack of cybersecurity training among students, faculty, and staff exacerbates vulnerabilities, making individuals more susceptible to cyberattacks. Institutions must prioritize ongoing security awareness education to mitigate human error-related risks.</t>
        </is>
      </c>
      <c r="J31" s="5" t="b">
        <v>1</v>
      </c>
      <c r="K31" s="5" t="inlineStr"/>
      <c r="L31" s="5" t="b">
        <v>0</v>
      </c>
      <c r="M31" s="5" t="inlineStr">
        <is>
          <t>application</t>
        </is>
      </c>
      <c r="N31" s="5" t="inlineStr">
        <is>
          <t>hard</t>
        </is>
      </c>
      <c r="O31" s="5" t="inlineStr">
        <is>
          <t>privacy_security</t>
        </is>
      </c>
      <c r="P31" s="5" t="n">
        <v>5</v>
      </c>
      <c r="Q31" s="5" t="b">
        <v>1</v>
      </c>
      <c r="R31" s="5" t="inlineStr">
        <is>
          <t>The answer reproduces the evidence nearly verbatim. It only expands 'ISC' to 'information security culture', which the context clearly supports. | The question sets out a concrete scenario and asks for a recommended approach and its benefits. It does not refer to unseen context or use undefined acronyms.</t>
        </is>
      </c>
      <c r="S31" s="5" t="inlineStr">
        <is>
          <t>A campus leader wants fewer human-factor breaches and greater institutional resilience. What culture-building measures are recommended and what do they achieve?</t>
        </is>
      </c>
      <c r="T31" s="5" t="inlineStr">
        <is>
          <t>If a university aims to lower the number of breaches resulting from human mistakes and become more resilient to changing threats, which kind of information security culture should it adopt, and what advantages does that offer?</t>
        </is>
      </c>
      <c r="U31" s="5" t="inlineStr"/>
      <c r="V31" s="5" t="inlineStr"/>
      <c r="W31" s="5" t="inlineStr"/>
      <c r="X31" s="5" t="inlineStr">
        <is>
          <t>extra:procurement_technology</t>
        </is>
      </c>
      <c r="Y31" s="5" t="inlineStr">
        <is>
          <t>ai-and-security-in-china-s-higher-education:0016:q4</t>
        </is>
      </c>
    </row>
    <row r="32">
      <c r="A32" s="5" t="n">
        <v>31</v>
      </c>
      <c r="B32" s="5" t="b">
        <v>1</v>
      </c>
      <c r="C32" s="6" t="n"/>
      <c r="D32" s="6" t="n"/>
      <c r="E32" s="5" t="n"/>
      <c r="F32" s="5" t="inlineStr">
        <is>
          <t>In the Be AIware! K-12 AI competency model, what do the Data characteristics knowledge competency and the Visualization of datasets skill each progress toward?</t>
        </is>
      </c>
      <c r="G32" s="5" t="inlineStr">
        <is>
          <t>The Data characteristics knowledge competency moves from recognizing data characteristics to critically evaluating the quality and relevance of data sets. The Visualization of datasets skill advances from creating simple visual representations of data to designing and interpreting complex visualizations that enhance understanding and support strategic decision-making.</t>
        </is>
      </c>
      <c r="H32" s="5" t="inlineStr">
        <is>
          <t>Be AIware! An AI Competency Model for K-12 Education, p. 39</t>
        </is>
      </c>
      <c r="I32" s="5" t="inlineStr">
        <is>
          <t>Moves from recognizing data characteristics to critically evaluating the quality and relevance of data sets. … Advances from creating simple visual representations of data to designing and interpreting complex visualizations that enhance understanding and support strategic decision-making.</t>
        </is>
      </c>
      <c r="J32" s="5" t="b">
        <v>1</v>
      </c>
      <c r="K32" s="5" t="inlineStr"/>
      <c r="L32" s="5" t="b">
        <v>0</v>
      </c>
      <c r="M32" s="5" t="inlineStr">
        <is>
          <t>definition</t>
        </is>
      </c>
      <c r="N32" s="5" t="inlineStr">
        <is>
          <t>medium</t>
        </is>
      </c>
      <c r="O32" s="5" t="inlineStr">
        <is>
          <t>student_ai_literacy</t>
        </is>
      </c>
      <c r="P32" s="5" t="n">
        <v>4</v>
      </c>
      <c r="Q32" s="5" t="b">
        <v>1</v>
      </c>
      <c r="R32" s="5" t="inlineStr">
        <is>
          <t>Both progressions are restated nearly verbatim from the evidence. However, the excerpt does not explicitly label which sentence belongs to Data characteristics and which to Visualization of datasets, so that attribution is a mild inference. | The question names the specific model (Be AIware! K-12 AI competency model) and both competencies, so it is understandable without seeing the source.</t>
        </is>
      </c>
      <c r="S32" s="5" t="inlineStr">
        <is>
          <t>What end points do the Data characteristics knowledge competency and the Visualization of datasets skill reach in the Be AIware! K-12 AI competency model?</t>
        </is>
      </c>
      <c r="T32" s="5" t="inlineStr">
        <is>
          <t>In the Be AIware! AI competency model for K-12, what is the end goal that the Data characteristics knowledge competency and the Visualization of datasets skill each build toward?</t>
        </is>
      </c>
      <c r="U32" s="5" t="inlineStr"/>
      <c r="V32" s="5" t="inlineStr"/>
      <c r="W32" s="5" t="inlineStr"/>
      <c r="X32" s="5" t="inlineStr">
        <is>
          <t>pilot</t>
        </is>
      </c>
      <c r="Y32" s="5" t="inlineStr">
        <is>
          <t>be-aiware-an-ai-competency-model-for-k-12:0057:q3</t>
        </is>
      </c>
    </row>
    <row r="33">
      <c r="A33" s="5" t="n">
        <v>32</v>
      </c>
      <c r="B33" s="5" t="b">
        <v>1</v>
      </c>
      <c r="C33" s="6" t="n"/>
      <c r="D33" s="6" t="n"/>
      <c r="E33" s="5" t="n"/>
      <c r="F33" s="5" t="inlineStr">
        <is>
          <t>Which individual differences does Research Proposition 3 in a review of generative AI in entrepreneurship education say moderate the impact of GAI-enabled learning on entrepreneurial competencies?</t>
        </is>
      </c>
      <c r="G33" s="5" t="inlineStr">
        <is>
          <t>Digital literacy, entrepreneurial experience, and learning motivation are the individual differences that moderate the impact of GAI-enabled learning on entrepreneurial competencies.</t>
        </is>
      </c>
      <c r="H33" s="5" t="inlineStr">
        <is>
          <t>Toward understanding the role of generative AI in entrepreneurship education: A systematic review, p. 19</t>
        </is>
      </c>
      <c r="I33" s="5" t="inlineStr">
        <is>
          <t>Research Proposition 3: Individual differences, including digital literacy, entrepreneurial experience, and learning motivation, moderate the impact of GAI-enabled learning on entrepreneurial competencies.</t>
        </is>
      </c>
      <c r="J33" s="5" t="b">
        <v>1</v>
      </c>
      <c r="K33" s="5" t="inlineStr"/>
      <c r="L33" s="5" t="b">
        <v>0</v>
      </c>
      <c r="M33" s="5" t="inlineStr">
        <is>
          <t>factual</t>
        </is>
      </c>
      <c r="N33" s="5" t="inlineStr">
        <is>
          <t>easy</t>
        </is>
      </c>
      <c r="O33" s="5" t="inlineStr">
        <is>
          <t>student_ai_literacy</t>
        </is>
      </c>
      <c r="P33" s="5" t="n">
        <v>5</v>
      </c>
      <c r="Q33" s="5" t="b">
        <v>1</v>
      </c>
      <c r="R33" s="5" t="inlineStr">
        <is>
          <t>The answer directly restates the proposition's listed individual differences: digital literacy, entrepreneurial experience, and learning motivation. | The question identifies the source by its content (a review of generative AI in entrepreneurship education) and names the specific proposition. GAI is defined in context as generative AI, so no unseen context is needed.</t>
        </is>
      </c>
      <c r="S33" s="5" t="inlineStr">
        <is>
          <t>According to Research Proposition 3 in a review of generative AI in entrepreneurship education, which individual differences moderate how GAI-enabled learning affects entrepreneurial competencies?</t>
        </is>
      </c>
      <c r="T33" s="5" t="inlineStr">
        <is>
          <t>What individual differences are named as moderators of GAI-enabled learning's impact on entrepreneurial competencies in Research Proposition 3 of a generative AI entrepreneurship education review?</t>
        </is>
      </c>
      <c r="U33" s="5" t="inlineStr"/>
      <c r="V33" s="5" t="inlineStr"/>
      <c r="W33" s="5" t="inlineStr"/>
      <c r="X33" s="5" t="inlineStr">
        <is>
          <t>pilot</t>
        </is>
      </c>
      <c r="Y33" s="5" t="inlineStr">
        <is>
          <t>toward-understanding-the-role-of-generative-ai:0033:q2</t>
        </is>
      </c>
    </row>
    <row r="34">
      <c r="A34" s="5" t="n">
        <v>33</v>
      </c>
      <c r="B34" s="5" t="b">
        <v>1</v>
      </c>
      <c r="C34" s="6" t="n"/>
      <c r="D34" s="6" t="n"/>
      <c r="E34" s="5" t="n"/>
      <c r="F34" s="5" t="inlineStr">
        <is>
          <t>A university deploys an AI admissions-screening tool and wants accountability measures. Which accountability aspects and example practices from a framework on AI transparency and accountability would apply, covering bias, human supervision, and ongoing checks?</t>
        </is>
      </c>
      <c r="G34" s="5" t="inlineStr">
        <is>
          <t>Bias detection and mitigation involves detecting and mitigating biases in algorithms to ensure fairness in decision-making, for example using demographic parity techniques to reduce gender bias in a recruitment AI system. Human oversight means incorporating human supervision and intervention to correct AI outputs, such as human moderators reviewing AI-generated content. Auditing and monitoring means regular audits and monitoring to ensure compliance, performance, and ethical standards, such as periodic third-party audits of financial decision algorithms.</t>
        </is>
      </c>
      <c r="H34" s="5" t="inlineStr">
        <is>
          <t>Towards Ethical and Socially Responsible Explainable AI, pp. 151-152</t>
        </is>
      </c>
      <c r="I34" s="5" t="inlineStr">
        <is>
          <t>| Bias detection and mitigation    | Detecting and mitigating biases in AI algorithms to ensure fairness in decision-making                             | Using demographic parity techniques to reduce gender bias in a job recruitment AI system               | … | Human oversight                  | Incorporating human oversight and intervention when necessary to supervise and correct AI system outputs             | Having human moderators review and intervene in content generated by AI-driven social media platforms                | … | Auditing and monitoring          | Conducting regular audits and monitoring of AI systems to ensure compliance, performance, and ethical standards      | Periodic third-party audits of AI algorithms used in financial decision-making processes                             |</t>
        </is>
      </c>
      <c r="J34" s="5" t="b">
        <v>1</v>
      </c>
      <c r="K34" s="5" t="inlineStr"/>
      <c r="L34" s="5" t="b">
        <v>0</v>
      </c>
      <c r="M34" s="5" t="inlineStr">
        <is>
          <t>application</t>
        </is>
      </c>
      <c r="N34" s="5" t="inlineStr">
        <is>
          <t>hard</t>
        </is>
      </c>
      <c r="O34" s="5" t="inlineStr">
        <is>
          <t>governance</t>
        </is>
      </c>
      <c r="P34" s="5" t="n">
        <v>4</v>
      </c>
      <c r="Q34" s="5" t="b">
        <v>1</v>
      </c>
      <c r="R34" s="5" t="inlineStr">
        <is>
          <t>All three aspects, definitions and examples come from the evidence table, with only light condensing (for example, dropping "when necessary" and "social media platforms"). No unsupported claims are added. | The question sets out a concrete scenario and identifies the framework by its content (AI transparency and accountability) rather than pointing to unseen context.</t>
        </is>
      </c>
      <c r="S34" s="5" t="inlineStr">
        <is>
          <t>Suppose a university introduces an AI tool to screen admissions applicants and wants to put accountability in place. According to a framework on AI transparency and accountability, which accountability aspects and sample practices apply to bias, human supervision, and ongoing checks?</t>
        </is>
      </c>
      <c r="T34" s="5" t="inlineStr">
        <is>
          <t>When a university uses an AI admissions-screening tool, which accountability aspects and example practices from an AI transparency and accountability framework should it apply to handle bias, human oversight, and continuing monitoring?</t>
        </is>
      </c>
      <c r="U34" s="5" t="inlineStr"/>
      <c r="V34" s="5" t="inlineStr"/>
      <c r="W34" s="5" t="inlineStr"/>
      <c r="X34" s="5" t="inlineStr">
        <is>
          <t>pilot</t>
        </is>
      </c>
      <c r="Y34" s="5" t="inlineStr">
        <is>
          <t>towards-ethical:0077:q0</t>
        </is>
      </c>
    </row>
    <row r="35">
      <c r="A35" s="5" t="n">
        <v>34</v>
      </c>
      <c r="B35" s="5" t="b">
        <v>1</v>
      </c>
      <c r="C35" s="6" t="n"/>
      <c r="D35" s="6" t="n"/>
      <c r="E35" s="5" t="n"/>
      <c r="F35" s="5" t="inlineStr">
        <is>
          <t>Why is text analytics of learner-generated text in education considered challenging, and what need do these challenges create?</t>
        </is>
      </c>
      <c r="G35" s="5" t="inlineStr">
        <is>
          <t>Text analytics in education is difficult because of the nature of textual data and the volume of information learners generate, the time-consuming and labour-intensive annotation of opinions, feedback and sentiments, and cultural and linguistic variations that complicate annotation and analysis. These challenges underscore the need for a generalisable, cross-platform and non-biased dataset that can be used to build reliable models in real-world applications.</t>
        </is>
      </c>
      <c r="H35" s="5" t="inlineStr">
        <is>
          <t>Artificial Intelligence in Education. Posters and Late Breaking Results, Workshops and Tutorials, Industry and Innovation Tracks, Practitioners, Doctoral Consortium and Blue Sky, p. 169</t>
        </is>
      </c>
      <c r="I35" s="5" t="inlineStr">
        <is>
          <t>This includes (1) the specific nature of textual data and the volume of information learners generate on online learning platforms [5], (2) annotating learners' expressed opinions, feedback and sentiments in MOOCs, which is known to be a time-consuming and labourintensive task [6, 7], and (3) the cultural and linguistic variations which can further complicate text annotations and analysis [8, 9]. … These challenges underscore the need for a generalisable cross-platform and nonbiased dataset that can be further used to build reliable models in real-world applications.</t>
        </is>
      </c>
      <c r="J35" s="5" t="b">
        <v>1</v>
      </c>
      <c r="K35" s="5" t="inlineStr"/>
      <c r="L35" s="5" t="b">
        <v>0</v>
      </c>
      <c r="M35" s="5" t="inlineStr">
        <is>
          <t>explanation</t>
        </is>
      </c>
      <c r="N35" s="5" t="inlineStr">
        <is>
          <t>medium</t>
        </is>
      </c>
      <c r="O35" s="5" t="inlineStr">
        <is>
          <t>general</t>
        </is>
      </c>
      <c r="P35" s="5" t="n">
        <v>4</v>
      </c>
      <c r="Q35" s="5" t="b">
        <v>1</v>
      </c>
      <c r="R35" s="5" t="inlineStr">
        <is>
          <t>All three challenges and the stated need come straight from the evidence, with only minor rewording. The answer also drops qualifiers such as 'on online learning platforms' and 'in MOOCs'. | The question is self-contained: it names the topic, text analytics of learner-generated text in education, without referring to any unseen source.</t>
        </is>
      </c>
      <c r="S35" s="5" t="inlineStr">
        <is>
          <t>What makes analysing learner-generated text in education difficult, and what need follows from these difficulties?</t>
        </is>
      </c>
      <c r="T35" s="5" t="inlineStr">
        <is>
          <t>What makes analyzing text written by learners in educational settings difficult, and what need arises from these difficulties?</t>
        </is>
      </c>
      <c r="U35" s="5" t="inlineStr"/>
      <c r="V35" s="5" t="inlineStr"/>
      <c r="W35" s="5" t="inlineStr"/>
      <c r="X35" s="5" t="inlineStr">
        <is>
          <t>extra:procurement_technology</t>
        </is>
      </c>
      <c r="Y35" s="5" t="inlineStr">
        <is>
          <t>artificial-intelligence-bceaf5:0124:q2</t>
        </is>
      </c>
    </row>
    <row r="36">
      <c r="A36" s="5" t="n">
        <v>35</v>
      </c>
      <c r="B36" s="5" t="b">
        <v>1</v>
      </c>
      <c r="C36" s="6" t="n"/>
      <c r="D36" s="6" t="n"/>
      <c r="E36" s="5" t="n"/>
      <c r="F36" s="5" t="inlineStr">
        <is>
          <t>Why does a 2025 PAGER scoping review of ChatGPT and similar technologies in nursing education say that developing technical and ethical competencies is crucial?</t>
        </is>
      </c>
      <c r="G36" s="5" t="inlineStr">
        <is>
          <t>The review states that developing technical and ethical competencies is crucial, especially for upholding academic integrity and ensuring equitable student access. It also says systematic documentation and evaluation of implementation experiences will contribute to developing best practices.</t>
        </is>
      </c>
      <c r="H36" s="5" t="inlineStr">
        <is>
          <t>Patterns, advances, and gaps in using ChatGPT and similar technologies in nursing education: A PAGER scoping review, p. 8</t>
        </is>
      </c>
      <c r="I36" s="5" t="inlineStr">
        <is>
          <t>Systematic documentation and evaluation of implementation experiences will contribute to developing best practices. Developing technical and ethical competencies is crucial, especially for upholding academic integrity and ensuring equitable student access. Cross-institutional collaboration should be encouraged to share implementation strategies and lessons learned.</t>
        </is>
      </c>
      <c r="J36" s="5" t="b">
        <v>1</v>
      </c>
      <c r="K36" s="5" t="inlineStr"/>
      <c r="L36" s="5" t="b">
        <v>0</v>
      </c>
      <c r="M36" s="5" t="inlineStr">
        <is>
          <t>explanation</t>
        </is>
      </c>
      <c r="N36" s="5" t="inlineStr">
        <is>
          <t>medium</t>
        </is>
      </c>
      <c r="O36" s="5" t="inlineStr">
        <is>
          <t>faculty_readiness</t>
        </is>
      </c>
      <c r="P36" s="5" t="n">
        <v>5</v>
      </c>
      <c r="Q36" s="5" t="b">
        <v>1</v>
      </c>
      <c r="R36" s="5" t="inlineStr">
        <is>
          <t>Both sentences in the answer are taken almost verbatim from the evidence. The answer adds no inference or causal connection beyond what the evidence states. | The question identifies the source by its content: a 2025 PAGER scoping review of ChatGPT and similar technologies in nursing education. It asks a clear question without relying on unseen context.</t>
        </is>
      </c>
      <c r="S36" s="5" t="inlineStr">
        <is>
          <t>According to a PAGER scoping review on GenAI in nursing education, what makes technical and ethical competency development crucial?</t>
        </is>
      </c>
      <c r="T36" s="5" t="inlineStr">
        <is>
          <t>According to a 2025 PAGER scoping review of ChatGPT and comparable technologies in nursing education, what makes it crucial to develop technical and ethical competencies?</t>
        </is>
      </c>
      <c r="U36" s="5" t="inlineStr"/>
      <c r="V36" s="5" t="inlineStr"/>
      <c r="W36" s="5" t="inlineStr"/>
      <c r="X36" s="5" t="inlineStr">
        <is>
          <t>pilot</t>
        </is>
      </c>
      <c r="Y36" s="5" t="inlineStr">
        <is>
          <t>patterns-advances-and-gaps-in-using-chatgpt-and:0016:q0</t>
        </is>
      </c>
    </row>
    <row r="37">
      <c r="A37" s="5" t="n">
        <v>36</v>
      </c>
      <c r="B37" s="5" t="b">
        <v>1</v>
      </c>
      <c r="C37" s="6" t="n"/>
      <c r="D37" s="6" t="n"/>
      <c r="E37" s="5" t="n"/>
      <c r="F37" s="5" t="inlineStr">
        <is>
          <t>What are the two components of the assignment in the AI in Business Environments module, and how are they weighted?</t>
        </is>
      </c>
      <c r="G37" s="5" t="inlineStr">
        <is>
          <t>The assignment has two components: an AI model development and business application report worth 50%, and an AI strategy and implementation proposal worth 50%.</t>
        </is>
      </c>
      <c r="H37" s="5" t="inlineStr">
        <is>
          <t>The formation of AI Capital in higher education: Enhancing students’ academic performance and employment rates, p. 7</t>
        </is>
      </c>
      <c r="I37" s="5" t="inlineStr">
        <is>
          <t>The module assignment consisted of two key components: an AI model development and business application report (50 %), and an AI strategy and implementation proposal (50 %).</t>
        </is>
      </c>
      <c r="J37" s="5" t="b">
        <v>1</v>
      </c>
      <c r="K37" s="5" t="inlineStr"/>
      <c r="L37" s="5" t="b">
        <v>0</v>
      </c>
      <c r="M37" s="5" t="inlineStr">
        <is>
          <t>factual</t>
        </is>
      </c>
      <c r="N37" s="5" t="inlineStr">
        <is>
          <t>easy</t>
        </is>
      </c>
      <c r="O37" s="5" t="inlineStr">
        <is>
          <t>assessment</t>
        </is>
      </c>
      <c r="P37" s="5" t="n">
        <v>5</v>
      </c>
      <c r="Q37" s="5" t="b">
        <v>1</v>
      </c>
      <c r="R37" s="5" t="inlineStr">
        <is>
          <t>The answer directly restates both components and their 50% weightings as given in the evidence. | The question names the specific module and asks clearly about the assignment components and weights, with no reference to unseen context.</t>
        </is>
      </c>
      <c r="S37" s="5" t="inlineStr">
        <is>
          <t>How is the AI in Business Environments module assignment split, and what weight does each part carry?</t>
        </is>
      </c>
      <c r="T37" s="5" t="inlineStr">
        <is>
          <t>Which two parts make up the assignment of the AI in Business Environments module, and what percentage is each worth?</t>
        </is>
      </c>
      <c r="U37" s="5" t="inlineStr"/>
      <c r="V37" s="5" t="inlineStr"/>
      <c r="W37" s="5" t="inlineStr"/>
      <c r="X37" s="5" t="inlineStr">
        <is>
          <t>extra:leadership_strategy</t>
        </is>
      </c>
      <c r="Y37" s="5" t="inlineStr">
        <is>
          <t>the-formation-of-ai-capital-in-higher-education:0012:q3</t>
        </is>
      </c>
    </row>
    <row r="38">
      <c r="A38" s="5" t="n">
        <v>37</v>
      </c>
      <c r="B38" s="5" t="b">
        <v>1</v>
      </c>
      <c r="C38" s="6" t="n"/>
      <c r="D38" s="6" t="n"/>
      <c r="E38" s="5" t="n"/>
      <c r="F38" s="5" t="inlineStr">
        <is>
          <t>What does a foundational literacy in AI cover, and for whom is it considered vital?</t>
        </is>
      </c>
      <c r="G38" s="5" t="inlineStr">
        <is>
          <t>A foundational literacy in AI covers the key areas of AI concepts, applications, affectiveness for human emotions, safety and security, and responsible usage. It is vital for all individuals.</t>
        </is>
      </c>
      <c r="H38" s="5" t="inlineStr">
        <is>
          <t>Generative AI in Higher Education: The ChatGPT Effect, p. 62</t>
        </is>
      </c>
      <c r="I38" s="5" t="inlineStr">
        <is>
          <t>a foundational literacy in AI - covering the key areas of AI concepts, applications, affectiveness for human emotions, safety and security, and responsible usage - is vital for all individuals.</t>
        </is>
      </c>
      <c r="J38" s="5" t="b">
        <v>1</v>
      </c>
      <c r="K38" s="5" t="inlineStr"/>
      <c r="L38" s="5" t="b">
        <v>0</v>
      </c>
      <c r="M38" s="5" t="inlineStr">
        <is>
          <t>definition</t>
        </is>
      </c>
      <c r="N38" s="5" t="inlineStr">
        <is>
          <t>medium</t>
        </is>
      </c>
      <c r="O38" s="5" t="inlineStr">
        <is>
          <t>student_ai_literacy</t>
        </is>
      </c>
      <c r="P38" s="5" t="n">
        <v>5</v>
      </c>
      <c r="Q38" s="5" t="b">
        <v>1</v>
      </c>
      <c r="R38" s="5" t="inlineStr">
        <is>
          <t>The answer restates the evidence exactly, covering the five key areas and stating that it is vital for all individuals. | The question names its subject (foundational AI literacy) directly and does not rely on any unseen context.</t>
        </is>
      </c>
      <c r="S38" s="5" t="inlineStr">
        <is>
          <t>Which key areas make up a foundational AI literacy, and who needs it?</t>
        </is>
      </c>
      <c r="T38" s="5" t="inlineStr">
        <is>
          <t>What are the components of foundational AI literacy, and to whom does it apply?</t>
        </is>
      </c>
      <c r="U38" s="5" t="inlineStr"/>
      <c r="V38" s="5" t="inlineStr"/>
      <c r="W38" s="5" t="inlineStr"/>
      <c r="X38" s="5" t="inlineStr">
        <is>
          <t>extra:faculty_readiness</t>
        </is>
      </c>
      <c r="Y38" s="5" t="inlineStr">
        <is>
          <t>cecilia-ka-yuk-chan-2024-generative-ai-in:0035:q4</t>
        </is>
      </c>
    </row>
    <row r="39">
      <c r="A39" s="5" t="n">
        <v>38</v>
      </c>
      <c r="B39" s="5" t="b">
        <v>1</v>
      </c>
      <c r="C39" s="6" t="n"/>
      <c r="D39" s="6" t="n"/>
      <c r="E39" s="5" t="n"/>
      <c r="F39" s="5" t="inlineStr">
        <is>
          <t>A university's student services office wants to use its existing CRM to improve enrollment and reduce melt. What approach does nudging offer, and how does the Discourse Analytics platform build on existing university data to personalize it?</t>
        </is>
      </c>
      <c r="G39" s="5" t="inlineStr">
        <is>
          <t>Nudging provides appropriately modulated messages via existing communication channels such as student CRM, at the right time, to achieve outcomes such as enrollment, recruitment, melt, financial aid and student success. Discourse Analytics leverages existing data from platforms like SIS, LMS, ERP and CRM to build individualized learner profiles focused on noncognitive aspects such as financial comfort, self-awareness, resilience and curiosity. These are clustered with a patented Think-Alike Clustering algorithm.</t>
        </is>
      </c>
      <c r="H39" s="5" t="inlineStr">
        <is>
          <t>Augmented Education in the Global Age: Artificial Intelligence and the Future of Learning and Work, p. 146</t>
        </is>
      </c>
      <c r="I39" s="5" t="inlineStr">
        <is>
          <t>Nudging provides appropriately modulated messages via existing communication channels (e.g., student Customer Relationship Management: CRM), at the right time to achieve specific student outcomes such as enrollment, recruitment, melt, financial aid, and student success. … By leveraging existing data from across university software platforms (Student Information System (SIS), Learning Management System (LMS), Enterprise Resource Planning system (ERP), CRM, etc.) the platform builds individualized learner profiles that focus on noncognitive aspects of the learner (financial comfort, self-awareness, resilience, curiosity) that are then clustered using a patented Think-Alike Clustering algorithm.</t>
        </is>
      </c>
      <c r="J39" s="5" t="b">
        <v>1</v>
      </c>
      <c r="K39" s="5" t="inlineStr"/>
      <c r="L39" s="5" t="b">
        <v>0</v>
      </c>
      <c r="M39" s="5" t="inlineStr">
        <is>
          <t>application</t>
        </is>
      </c>
      <c r="N39" s="5" t="inlineStr">
        <is>
          <t>hard</t>
        </is>
      </c>
      <c r="O39" s="5" t="inlineStr">
        <is>
          <t>teaching_learning</t>
        </is>
      </c>
      <c r="P39" s="5" t="n">
        <v>4</v>
      </c>
      <c r="Q39" s="5" t="b">
        <v>1</v>
      </c>
      <c r="R39" s="5" t="inlineStr">
        <is>
          <t>Every statement closely restates the evidence. The only gap is that the quoted evidence calls it "the platform" rather than naming Discourse Analytics, so that attribution is implied, not stated. | The question names the platform and the scenario explicitly. It does not rely on unseen context; CRM is a widely known acronym.</t>
        </is>
      </c>
      <c r="S39" s="5" t="inlineStr">
        <is>
          <t>How could a university use nudging through its existing CRM to support enrollment and melt reduction, and how does Discourse Analytics use existing platform data to personalize nudges?</t>
        </is>
      </c>
      <c r="T39" s="5" t="inlineStr">
        <is>
          <t>A university wants to act on enrollment and melt through its CRM: what does nudging provide, and how does Discourse Analytics use existing data to individualize it?</t>
        </is>
      </c>
      <c r="U39" s="5" t="inlineStr"/>
      <c r="V39" s="5" t="inlineStr"/>
      <c r="W39" s="5" t="inlineStr"/>
      <c r="X39" s="5" t="inlineStr">
        <is>
          <t>extra:procurement_technology</t>
        </is>
      </c>
      <c r="Y39" s="5" t="inlineStr">
        <is>
          <t>daniel-araya-peter-2023-augmented-education-in:0075:q1</t>
        </is>
      </c>
    </row>
    <row r="40">
      <c r="A40" s="5" t="n">
        <v>39</v>
      </c>
      <c r="B40" s="5" t="b">
        <v>1</v>
      </c>
      <c r="C40" s="6" t="n"/>
      <c r="D40" s="6" t="n"/>
      <c r="E40" s="5" t="n"/>
      <c r="F40" s="5" t="inlineStr">
        <is>
          <t>In the literature on current AI competency models for K-12 education, what does the K-16 framework developed by Blok et al. (2021) address, and how was it developed?</t>
        </is>
      </c>
      <c r="G40" s="5" t="inlineStr">
        <is>
          <t>Blok et al. (2021) addressed higher education competencies by developing a K-16 framework. They developed it through collaborative academic partnerships.</t>
        </is>
      </c>
      <c r="H40" s="5" t="inlineStr">
        <is>
          <t>Be AIware! An AI Competency Model for K-12 Education, p. 3</t>
        </is>
      </c>
      <c r="I40" s="5" t="inlineStr">
        <is>
          <t>Higher education competencies are addressed by Blok et al. (2021), who developed a K-16 framework through collaborative academic partnerships.</t>
        </is>
      </c>
      <c r="J40" s="5" t="b">
        <v>1</v>
      </c>
      <c r="K40" s="5" t="inlineStr"/>
      <c r="L40" s="5" t="b">
        <v>0</v>
      </c>
      <c r="M40" s="5" t="inlineStr">
        <is>
          <t>definition</t>
        </is>
      </c>
      <c r="N40" s="5" t="inlineStr">
        <is>
          <t>medium</t>
        </is>
      </c>
      <c r="O40" s="5" t="inlineStr">
        <is>
          <t>teaching_learning</t>
        </is>
      </c>
      <c r="P40" s="5" t="n">
        <v>5</v>
      </c>
      <c r="Q40" s="5" t="b">
        <v>1</v>
      </c>
      <c r="R40" s="5" t="inlineStr">
        <is>
          <t>Both statements, that the framework addresses higher education competencies and was developed through collaborative academic partnerships, are stated directly in the evidence. | The question names the specific framework and its authors and asks a clear question. It does not depend on any unseen context.</t>
        </is>
      </c>
      <c r="S40" s="5" t="inlineStr">
        <is>
          <t>What did the K-16 AI framework by Blok et al. (2021) cover, and by what means was it created?</t>
        </is>
      </c>
      <c r="T40" s="5" t="inlineStr">
        <is>
          <t>How was Blok et al.'s (2021) K-16 framework produced, and which competencies does it address?</t>
        </is>
      </c>
      <c r="U40" s="5" t="inlineStr"/>
      <c r="V40" s="5" t="inlineStr"/>
      <c r="W40" s="5" t="inlineStr"/>
      <c r="X40" s="5" t="inlineStr">
        <is>
          <t>pilot</t>
        </is>
      </c>
      <c r="Y40" s="5" t="inlineStr">
        <is>
          <t>be-aiware-an-ai-competency-model-for-k-12:0004:q0</t>
        </is>
      </c>
    </row>
    <row r="41">
      <c r="A41" s="5" t="n">
        <v>40</v>
      </c>
      <c r="B41" s="5" t="b">
        <v>1</v>
      </c>
      <c r="C41" s="6" t="n"/>
      <c r="D41" s="6" t="n"/>
      <c r="E41" s="5" t="n"/>
      <c r="F41" s="5" t="inlineStr">
        <is>
          <t>What net enrollment rate among 18-to-24-year-olds does Argentina's university system reach, based on 2019 data?</t>
        </is>
      </c>
      <c r="G41" s="5" t="inlineStr">
        <is>
          <t>Argentina's university system had 2,164,500 registered students, representing a net enrollment rate of 19.7% for young people aged 18 to 24 (DIU, 2019). About 93% of these students are undergraduates and about 80% are in state-run institutions.</t>
        </is>
      </c>
      <c r="H41" s="5" t="inlineStr">
        <is>
          <t>Socially Responsible Higher Education, p. 50</t>
        </is>
      </c>
      <c r="I41" s="5" t="inlineStr">
        <is>
          <t>Considering the population, the Argentine university system brings together 2,164,500 students, of which 93% are undergraduate students, and about 80% are in state-run institutions (national or provincial). The number of registered students represents a net enrollment rate of 19.7% for the population of young people aged 18 to 24 years old (DIU, 2019).</t>
        </is>
      </c>
      <c r="J41" s="5" t="b">
        <v>1</v>
      </c>
      <c r="K41" s="5" t="inlineStr"/>
      <c r="L41" s="5" t="b">
        <v>0</v>
      </c>
      <c r="M41" s="5" t="inlineStr">
        <is>
          <t>factual</t>
        </is>
      </c>
      <c r="N41" s="5" t="inlineStr">
        <is>
          <t>easy</t>
        </is>
      </c>
      <c r="O41" s="5" t="inlineStr">
        <is>
          <t>equity_accessibility</t>
        </is>
      </c>
      <c r="P41" s="5" t="n">
        <v>5</v>
      </c>
      <c r="Q41" s="5" t="b">
        <v>1</v>
      </c>
      <c r="R41" s="5" t="inlineStr">
        <is>
          <t>Every statement in the answer is taken directly from the evidence: 2,164,500 students, the 19.7% net enrollment rate for 18–24-year-olds, 93% undergraduates and about 80% in state-run institutions. | The question names Argentina's university system, the age group and the data year, so it is clear without the source.</t>
        </is>
      </c>
      <c r="S41" s="5" t="inlineStr">
        <is>
          <t>According to 2019 figures, what share of Argentine young people aged 18 to 24 are enrolled in university?</t>
        </is>
      </c>
      <c r="T41" s="5" t="inlineStr">
        <is>
          <t>What is the net enrollment rate for the 18-to-24 age group in Argentina's university system as of the 2019 data?</t>
        </is>
      </c>
      <c r="U41" s="5" t="inlineStr"/>
      <c r="V41" s="5" t="inlineStr"/>
      <c r="W41" s="5" t="inlineStr"/>
      <c r="X41" s="5" t="inlineStr">
        <is>
          <t>pilot</t>
        </is>
      </c>
      <c r="Y41" s="5" t="inlineStr">
        <is>
          <t>budd-l-hall-rajesh-2021-socially-responsible:0027:q0</t>
        </is>
      </c>
    </row>
    <row r="42">
      <c r="A42" s="5" t="n">
        <v>41</v>
      </c>
      <c r="B42" s="5" t="b">
        <v>0</v>
      </c>
      <c r="C42" s="6" t="n"/>
      <c r="D42" s="6" t="n"/>
      <c r="E42" s="5" t="n"/>
      <c r="F42" s="5" t="inlineStr">
        <is>
          <t>In critiques of global university rankings, what message do rankings convey about where 'world class' status, 'quality' or 'excellence' are found?</t>
        </is>
      </c>
      <c r="G42" s="5" t="inlineStr">
        <is>
          <t>The message is that 'world class' status, 'quality' or 'excellence' are highly concentrated in specific places. By implication, they are not present in other places.</t>
        </is>
      </c>
      <c r="H42" s="5" t="inlineStr">
        <is>
          <t>Socially Responsible Higher Education, p. 96</t>
        </is>
      </c>
      <c r="I42" s="5" t="inlineStr">
        <is>
          <t>The message seems clear - 'world class' status, 'quality', or 'excellence' are highly concentrated in specific places. It is therefore, by implication, not present in others.</t>
        </is>
      </c>
      <c r="J42" s="5" t="b">
        <v>1</v>
      </c>
      <c r="K42" s="5" t="inlineStr"/>
      <c r="L42" s="5" t="b">
        <v>0</v>
      </c>
      <c r="M42" s="5" t="inlineStr">
        <is>
          <t>definition</t>
        </is>
      </c>
      <c r="N42" s="5" t="inlineStr">
        <is>
          <t>medium</t>
        </is>
      </c>
      <c r="O42" s="5" t="inlineStr">
        <is>
          <t>equity_accessibility</t>
        </is>
      </c>
      <c r="P42" s="5" t="n">
        <v>4</v>
      </c>
      <c r="Q42" s="5" t="b">
        <v>1</v>
      </c>
      <c r="R42" s="5" t="inlineStr">
        <is>
          <t>The answer restates the evidence almost verbatim. It only drops the hedge 'seems', presenting the message as definite rather than as what 'seems clear'. | The question names its context (critiques of global university rankings) and relies on no unseen references or undefined terms.</t>
        </is>
      </c>
      <c r="S42" s="5" t="inlineStr">
        <is>
          <t>What do global university rankings imply about the locations of 'world class' status, 'quality' or 'excellence'?</t>
        </is>
      </c>
      <c r="T42" s="5" t="inlineStr">
        <is>
          <t>What do global university rankings communicate, according to their critics, about the location of 'world class' standing, 'quality' or 'excellence'?</t>
        </is>
      </c>
      <c r="U42" s="5" t="inlineStr"/>
      <c r="V42" s="5" t="inlineStr"/>
      <c r="W42" s="5" t="inlineStr"/>
      <c r="X42" s="5" t="inlineStr">
        <is>
          <t>pilot</t>
        </is>
      </c>
      <c r="Y42" s="5" t="inlineStr">
        <is>
          <t>budd-l-hall-rajesh-2021-socially-responsible:0055:q0</t>
        </is>
      </c>
    </row>
    <row r="43">
      <c r="A43" s="5" t="n">
        <v>42</v>
      </c>
      <c r="B43" s="5" t="b">
        <v>0</v>
      </c>
      <c r="C43" s="6" t="n"/>
      <c r="D43" s="6" t="n"/>
      <c r="E43" s="5" t="n"/>
      <c r="F43" s="5" t="inlineStr">
        <is>
          <t>In the 2020 Times Higher Education World University Rankings, how many of the 'top 300' universities are in Europe, North America, Australia and New Zealand?</t>
        </is>
      </c>
      <c r="G43" s="5" t="inlineStr">
        <is>
          <t>Of the purportedly 'top 300' universities in the world, 270 (90%) are located in Europe, North America, Australia and New Zealand.</t>
        </is>
      </c>
      <c r="H43" s="5" t="inlineStr">
        <is>
          <t>Socially Responsible Higher Education, p. 95</t>
        </is>
      </c>
      <c r="I43" s="5" t="inlineStr">
        <is>
          <t>of the purportedly 'top 300' universities in the world, 270 (90%) are located in Europe, North America, Australia and New Zealand.</t>
        </is>
      </c>
      <c r="J43" s="5" t="b">
        <v>1</v>
      </c>
      <c r="K43" s="5" t="inlineStr"/>
      <c r="L43" s="5" t="b">
        <v>1</v>
      </c>
      <c r="M43" s="5" t="inlineStr">
        <is>
          <t>factual</t>
        </is>
      </c>
      <c r="N43" s="5" t="inlineStr">
        <is>
          <t>easy</t>
        </is>
      </c>
      <c r="O43" s="5" t="inlineStr">
        <is>
          <t>equity_accessibility</t>
        </is>
      </c>
      <c r="P43" s="5" t="n">
        <v>5</v>
      </c>
      <c r="Q43" s="5" t="b">
        <v>1</v>
      </c>
      <c r="R43" s="5" t="inlineStr">
        <is>
          <t>The answer repeats the evidence almost verbatim: 270 of the 'top 300' universities, or 90%, are in Europe, North America, Australia and New Zealand. It adds no other claims. | The question names the specific ranking and year and asks for a clear count. It needs no unseen context.</t>
        </is>
      </c>
      <c r="S43" s="5" t="inlineStr">
        <is>
          <t>How many of the 300 highest-ranked universities in the 2020 THE World University Rankings are located in Europe, North America, Australia and New Zealand?</t>
        </is>
      </c>
      <c r="T43" s="5" t="inlineStr">
        <is>
          <t>What is the count of universities from Europe, North America, Australia and New Zealand among the top 300 in the 2020 Times Higher Education World University Rankings?</t>
        </is>
      </c>
      <c r="U43" s="5" t="inlineStr">
        <is>
          <t>In the 2020 Times Higher Education World University Rankings, how many of the 'top 300' universities are in Europe, North America, Australia and New Zealand?</t>
        </is>
      </c>
      <c r="V43" s="5" t="inlineStr">
        <is>
          <t>In the 2020 THE World University Rankings, 270 of the 'top 300' universities (90%) are in Europe, North America, Australia and New Zealand. Also, 282 (94%) are in high-income 'Global North' countries.</t>
        </is>
      </c>
      <c r="W43" s="5" t="inlineStr">
        <is>
          <t>grounding(3). The 270 (90%) figure is directly supported by the evidence. The added claim that 282 (94%) are in high-income 'Global North' countries does not appear in the evidence. The question names the specific ranking (2020 Times Higher Education World University Rankings) and the regions, and needs no outside context.</t>
        </is>
      </c>
      <c r="X43" s="5" t="inlineStr">
        <is>
          <t>pilot</t>
        </is>
      </c>
      <c r="Y43" s="5" t="inlineStr">
        <is>
          <t>budd-l-hall-rajesh-2021-socially-responsible:0055:q1</t>
        </is>
      </c>
    </row>
    <row r="44">
      <c r="A44" s="5" t="n">
        <v>43</v>
      </c>
      <c r="B44" s="5" t="b">
        <v>0</v>
      </c>
      <c r="C44" s="6" t="n"/>
      <c r="D44" s="6" t="n"/>
      <c r="E44" s="5" t="n"/>
      <c r="F44" s="5" t="inlineStr">
        <is>
          <t>How many institutions represent the whole of Africa in the 2020 Times Higher Education top 300, and in which country are they located?</t>
        </is>
      </c>
      <c r="G44" s="5" t="inlineStr">
        <is>
          <t>Africa is represented by only three institutions, all of which are in South Africa. By comparison, there is one university from all of Latin America, one from the Middle East, and none from Central Asia.</t>
        </is>
      </c>
      <c r="H44" s="5" t="inlineStr">
        <is>
          <t>Socially Responsible Higher Education, p. 95</t>
        </is>
      </c>
      <c r="I44" s="5" t="inlineStr">
        <is>
          <t>The entire continent of Africa is represented by three institutions, all of which are in South Africa. There is only one university from the whole of Latin America, one from the Middle East, and not a single institution from Central Asia.</t>
        </is>
      </c>
      <c r="J44" s="5" t="b">
        <v>1</v>
      </c>
      <c r="K44" s="5" t="inlineStr"/>
      <c r="L44" s="5" t="b">
        <v>0</v>
      </c>
      <c r="M44" s="5" t="inlineStr">
        <is>
          <t>factual</t>
        </is>
      </c>
      <c r="N44" s="5" t="inlineStr">
        <is>
          <t>easy</t>
        </is>
      </c>
      <c r="O44" s="5" t="inlineStr">
        <is>
          <t>equity_accessibility</t>
        </is>
      </c>
      <c r="P44" s="5" t="n">
        <v>4</v>
      </c>
      <c r="Q44" s="5" t="b">
        <v>1</v>
      </c>
      <c r="R44" s="5" t="inlineStr">
        <is>
          <t>The answer's figures (three South African institutions; one each from Latin America and the Middle East; none from Central Asia) all match the evidence. The added word "only" is trivial rewording. | The question names the ranking (Times Higher Education 2020 top 300) and asks a clear factual question without relying on unseen context.</t>
        </is>
      </c>
      <c r="S44" s="5" t="inlineStr">
        <is>
          <t>In the 2020 Times Higher Education ranking of the top 300 universities, what number of institutions stand for the entire African continent, and what country are they based in?</t>
        </is>
      </c>
      <c r="T44" s="5" t="inlineStr">
        <is>
          <t>What is the count of African universities included in the Times Higher Education 2020 top 300, and in what country do these institutions sit?</t>
        </is>
      </c>
      <c r="U44" s="5" t="inlineStr"/>
      <c r="V44" s="5" t="inlineStr"/>
      <c r="W44" s="5" t="inlineStr"/>
      <c r="X44" s="5" t="inlineStr">
        <is>
          <t>pilot</t>
        </is>
      </c>
      <c r="Y44" s="5" t="inlineStr">
        <is>
          <t>budd-l-hall-rajesh-2021-socially-responsible:0055:q3</t>
        </is>
      </c>
    </row>
    <row r="45">
      <c r="A45" s="5" t="n">
        <v>44</v>
      </c>
      <c r="B45" s="5" t="b">
        <v>0</v>
      </c>
      <c r="C45" s="6" t="n"/>
      <c r="D45" s="6" t="n"/>
      <c r="E45" s="5" t="n"/>
      <c r="F45" s="5" t="inlineStr">
        <is>
          <t>A Peruvian law school is making its free legal aid clinic a compulsory course for students in their final years. Based on findings from a survey of 31 Peruvian law schools, what problems might this design cause?</t>
        </is>
      </c>
      <c r="G45" s="5" t="inlineStr">
        <is>
          <t>Almost all Peruvian law schools place clinical education near the end of studies, and 15 of 31 make clinics compulsory. While this theoretically allows better service and more student engagement, the model does not seem to account for students' context. By the time they take the clinic, students may already specialise in a different area of law and be occupied with another dissimilar internship. These factors may severely hinder the quality of service to users and the number of cases taken on.</t>
        </is>
      </c>
      <c r="H45" s="5" t="inlineStr">
        <is>
          <t>Socially Responsible Higher Education, p. 222</t>
        </is>
      </c>
      <c r="I45" s="5" t="inlineStr">
        <is>
          <t>Second, we found that almost all universities have chosen to implement legal clinical education towards the end of a student's education, often requiring them to have passed a certain set of classes (usually related to procedural law) in order to participate. … Third, out of the 31 universities, 15 stated that clinics are a compulsory course. While this theoretically allows for better service and more student engagement, the model does not seem to take into account the students' context. By the time students take a clinical class, they may already have chosen to specialise in a different area of the law and are probably occupied with another dissimilar internship. These factors may severely hinder the quality of service provided to users and the number of cases taken on.</t>
        </is>
      </c>
      <c r="J45" s="5" t="b">
        <v>1</v>
      </c>
      <c r="K45" s="5" t="inlineStr"/>
      <c r="L45" s="5" t="b">
        <v>0</v>
      </c>
      <c r="M45" s="5" t="inlineStr">
        <is>
          <t>application</t>
        </is>
      </c>
      <c r="N45" s="5" t="inlineStr">
        <is>
          <t>hard</t>
        </is>
      </c>
      <c r="O45" s="5" t="inlineStr">
        <is>
          <t>teaching_learning</t>
        </is>
      </c>
      <c r="P45" s="5" t="n">
        <v>4</v>
      </c>
      <c r="Q45" s="5" t="b">
        <v>1</v>
      </c>
      <c r="R45" s="5" t="inlineStr">
        <is>
          <t>The answer closely restates the evidence. It makes only minor rewordings, such as turning 'probably occupied' into 'may be occupied' and 'may already have chosen to specialise' into 'may already specialise'. | The question describes the scenario and identifies the source by its content (a survey of 31 Peruvian law schools), without vague references to unseen context.</t>
        </is>
      </c>
      <c r="S45" s="5" t="inlineStr">
        <is>
          <t>A law school in Peru plans to require a clinic course late in students' studies. What does survey research on 31 Peruvian law schools say about the risks of this compulsory model?</t>
        </is>
      </c>
      <c r="T45" s="5" t="inlineStr">
        <is>
          <t>A law school in Peru plans to require students in their last years to take its free legal aid clinic. According to a survey of 31 Peruvian law schools, what difficulties could this arrangement create?</t>
        </is>
      </c>
      <c r="U45" s="5" t="inlineStr"/>
      <c r="V45" s="5" t="inlineStr"/>
      <c r="W45" s="5" t="inlineStr"/>
      <c r="X45" s="5" t="inlineStr">
        <is>
          <t>pilot</t>
        </is>
      </c>
      <c r="Y45" s="5" t="inlineStr">
        <is>
          <t>budd-l-hall-rajesh-2021-socially-responsible:0120:q0</t>
        </is>
      </c>
    </row>
    <row r="46">
      <c r="A46" s="5" t="n">
        <v>45</v>
      </c>
      <c r="B46" s="5" t="b">
        <v>0</v>
      </c>
      <c r="C46" s="6" t="n"/>
      <c r="D46" s="6" t="n"/>
      <c r="E46" s="5" t="n"/>
      <c r="F46" s="5" t="inlineStr">
        <is>
          <t>Why might public interest clinics in Peru be concentrated in just three private universities in Lima?</t>
        </is>
      </c>
      <c r="G46" s="5" t="inlineStr">
        <is>
          <t>Research found that free legal aid clinics are evenly distributed across public and private universities nationwide, while public interest clinics are concentrated in three private universities in Lima. This could be because Peru has only a few dedicated public interest lawyers, and the Supreme Court and Constitutional Court are both in Lima.</t>
        </is>
      </c>
      <c r="H46" s="5" t="inlineStr">
        <is>
          <t>Socially Responsible Higher Education, p. 222</t>
        </is>
      </c>
      <c r="I46" s="5" t="inlineStr">
        <is>
          <t>The research shows that free legal aid clinics are evenly distributed in public and private universities throughout the country, while public interest clinics are concentrated in three private universities in Lima, Peru's capital. This could be because there only few dedicated public interest lawyers in Peru, and the high courts of Peru (Supreme Court and Constitutional Court) are both in Lima.</t>
        </is>
      </c>
      <c r="J46" s="5" t="b">
        <v>1</v>
      </c>
      <c r="K46" s="5" t="inlineStr"/>
      <c r="L46" s="5" t="b">
        <v>0</v>
      </c>
      <c r="M46" s="5" t="inlineStr">
        <is>
          <t>explanation</t>
        </is>
      </c>
      <c r="N46" s="5" t="inlineStr">
        <is>
          <t>medium</t>
        </is>
      </c>
      <c r="O46" s="5" t="inlineStr">
        <is>
          <t>general</t>
        </is>
      </c>
      <c r="P46" s="5" t="n">
        <v>5</v>
      </c>
      <c r="Q46" s="5" t="b">
        <v>1</v>
      </c>
      <c r="R46" s="5" t="inlineStr">
        <is>
          <t>Every statement in the answer is directly stated in the evidence: the distribution pattern of clinics, the few dedicated public interest lawyers, and both high courts being in Lima. | The question names Peru, public interest clinics, and Lima specifically, and relies on no unseen context.</t>
        </is>
      </c>
      <c r="S46" s="5" t="inlineStr">
        <is>
          <t>What is the possible reason that Peruvian public interest clinics are found only in three private universities in the capital?</t>
        </is>
      </c>
      <c r="T46" s="5" t="inlineStr">
        <is>
          <t>How can the clustering of public interest clinics in three private Lima universities be explained?</t>
        </is>
      </c>
      <c r="U46" s="5" t="inlineStr"/>
      <c r="V46" s="5" t="inlineStr"/>
      <c r="W46" s="5" t="inlineStr"/>
      <c r="X46" s="5" t="inlineStr">
        <is>
          <t>pilot</t>
        </is>
      </c>
      <c r="Y46" s="5" t="inlineStr">
        <is>
          <t>budd-l-hall-rajesh-2021-socially-responsible:0120:q1</t>
        </is>
      </c>
    </row>
    <row r="47">
      <c r="A47" s="5" t="n">
        <v>46</v>
      </c>
      <c r="B47" s="5" t="b">
        <v>0</v>
      </c>
      <c r="C47" s="6" t="n"/>
      <c r="D47" s="6" t="n"/>
      <c r="E47" s="5" t="n"/>
      <c r="F47" s="5" t="inlineStr">
        <is>
          <t>How many of the 31 Peruvian law schools surveyed have implemented public interest clinics rather than free legal aid clinics?</t>
        </is>
      </c>
      <c r="G47" s="5" t="inlineStr">
        <is>
          <t>Only 3 of the 31 institutions surveyed have implemented public interest clinics, while the remainder have opted for free legal aid clinics.</t>
        </is>
      </c>
      <c r="H47" s="5" t="inlineStr">
        <is>
          <t>Socially Responsible Higher Education, p. 222</t>
        </is>
      </c>
      <c r="I47" s="5" t="inlineStr">
        <is>
          <t>First, it is interesting to note that of the 31 institutions surveyed, only 3 have implemented public interest clinics, while the remainder have opted for free legal aid clinics. The latter often function as alternatives to internships, where students can get educational credit and recognition for internship work (27 institutions).</t>
        </is>
      </c>
      <c r="J47" s="5" t="b">
        <v>1</v>
      </c>
      <c r="K47" s="5" t="inlineStr"/>
      <c r="L47" s="5" t="b">
        <v>0</v>
      </c>
      <c r="M47" s="5" t="inlineStr">
        <is>
          <t>factual</t>
        </is>
      </c>
      <c r="N47" s="5" t="inlineStr">
        <is>
          <t>easy</t>
        </is>
      </c>
      <c r="O47" s="5" t="inlineStr">
        <is>
          <t>general</t>
        </is>
      </c>
      <c r="P47" s="5" t="n">
        <v>5</v>
      </c>
      <c r="Q47" s="5" t="b">
        <v>1</v>
      </c>
      <c r="R47" s="5" t="inlineStr">
        <is>
          <t>The evidence states directly that only 3 of the 31 surveyed institutions have implemented public interest clinics, with the rest choosing free legal aid clinics. | The question names the population (31 Peruvian law schools surveyed) and both clinic types, so it can be understood without the source.</t>
        </is>
      </c>
      <c r="S47" s="5" t="inlineStr">
        <is>
          <t>Out of 31 surveyed law schools in Peru, how many run public interest clinics?</t>
        </is>
      </c>
      <c r="T47" s="5" t="inlineStr">
        <is>
          <t>In a survey of 31 Peruvian law schools, what number had set up public interest clinics instead of free legal aid clinics?</t>
        </is>
      </c>
      <c r="U47" s="5" t="inlineStr"/>
      <c r="V47" s="5" t="inlineStr"/>
      <c r="W47" s="5" t="inlineStr"/>
      <c r="X47" s="5" t="inlineStr">
        <is>
          <t>pilot</t>
        </is>
      </c>
      <c r="Y47" s="5" t="inlineStr">
        <is>
          <t>budd-l-hall-rajesh-2021-socially-responsible:0120:q2</t>
        </is>
      </c>
    </row>
    <row r="48">
      <c r="A48" s="5" t="n">
        <v>47</v>
      </c>
      <c r="B48" s="5" t="b">
        <v>0</v>
      </c>
      <c r="C48" s="6" t="n"/>
      <c r="D48" s="6" t="n"/>
      <c r="E48" s="5" t="n"/>
      <c r="F48" s="5" t="inlineStr">
        <is>
          <t>Why has implementation of socially responsible higher education practice differed so drastically across Peruvian law schools?</t>
        </is>
      </c>
      <c r="G48" s="5" t="inlineStr">
        <is>
          <t>The process of implementing socially responsible higher education as standard practice has been drastically different across all law schools. This is due to vast differences in institutional commitment and available resources.</t>
        </is>
      </c>
      <c r="H48" s="5" t="inlineStr">
        <is>
          <t>Socially Responsible Higher Education, p. 222</t>
        </is>
      </c>
      <c r="I48" s="5" t="inlineStr">
        <is>
          <t>The process of implementing SRHEI as standard practice has been drastically different across all law schools, due to vast differences in institutional commitment and available resources.</t>
        </is>
      </c>
      <c r="J48" s="5" t="b">
        <v>1</v>
      </c>
      <c r="K48" s="5" t="inlineStr"/>
      <c r="L48" s="5" t="b">
        <v>0</v>
      </c>
      <c r="M48" s="5" t="inlineStr">
        <is>
          <t>explanation</t>
        </is>
      </c>
      <c r="N48" s="5" t="inlineStr">
        <is>
          <t>medium</t>
        </is>
      </c>
      <c r="O48" s="5" t="inlineStr">
        <is>
          <t>leadership_strategy</t>
        </is>
      </c>
      <c r="P48" s="5" t="n">
        <v>4</v>
      </c>
      <c r="Q48" s="5" t="b">
        <v>1</v>
      </c>
      <c r="R48" s="5" t="inlineStr">
        <is>
          <t>Both answer claims (drastically different implementation, due to differences in institutional commitment and resources) come straight from the evidence. The only change is expanding the acronym SRHEI to 'socially responsible higher education', which is trivial rewording. | The question names Peruvian law schools and socially responsible higher education practice explicitly. It uses no undefined acronyms and does not refer to unseen context.</t>
        </is>
      </c>
      <c r="S48" s="5" t="inlineStr">
        <is>
          <t>What accounts for the drastic differences between Peruvian law schools in implementing socially responsible higher education as standard practice?</t>
        </is>
      </c>
      <c r="T48" s="5" t="inlineStr">
        <is>
          <t>How come Peruvian law schools have implemented socially responsible higher education so differently?</t>
        </is>
      </c>
      <c r="U48" s="5" t="inlineStr"/>
      <c r="V48" s="5" t="inlineStr"/>
      <c r="W48" s="5" t="inlineStr"/>
      <c r="X48" s="5" t="inlineStr">
        <is>
          <t>pilot</t>
        </is>
      </c>
      <c r="Y48" s="5" t="inlineStr">
        <is>
          <t>budd-l-hall-rajesh-2021-socially-responsible:0120:q4</t>
        </is>
      </c>
    </row>
    <row r="49">
      <c r="A49" s="5" t="n">
        <v>48</v>
      </c>
      <c r="B49" s="5" t="b">
        <v>0</v>
      </c>
      <c r="C49" s="6" t="n"/>
      <c r="D49" s="6" t="n"/>
      <c r="E49" s="5" t="n"/>
      <c r="F49" s="5" t="inlineStr">
        <is>
          <t>What have been the main inclusion policies in Argentina's university system, and what has supplemented them?</t>
        </is>
      </c>
      <c r="G49" s="5" t="inlineStr">
        <is>
          <t>One of the main inclusion policies in the Argentine university system has been the territorial expansion of offerings and the sustained increase in enrollment. These were accompanied by some scholarship and tutoring programmes for courses.</t>
        </is>
      </c>
      <c r="H49" s="5" t="inlineStr">
        <is>
          <t>Socially Responsible Higher Education, p. 50</t>
        </is>
      </c>
      <c r="I49" s="5" t="inlineStr">
        <is>
          <t>One of the main policies of inclusion in the Argentine university system has been the territorial expansion of offerings and the sustained increase in enrollment, along with some scholarship and tutoring programmes for courses.</t>
        </is>
      </c>
      <c r="J49" s="5" t="b">
        <v>1</v>
      </c>
      <c r="K49" s="5" t="inlineStr"/>
      <c r="L49" s="5" t="b">
        <v>0</v>
      </c>
      <c r="M49" s="5" t="inlineStr">
        <is>
          <t>definition</t>
        </is>
      </c>
      <c r="N49" s="5" t="inlineStr">
        <is>
          <t>medium</t>
        </is>
      </c>
      <c r="O49" s="5" t="inlineStr">
        <is>
          <t>equity_accessibility</t>
        </is>
      </c>
      <c r="P49" s="5" t="n">
        <v>4</v>
      </c>
      <c r="Q49" s="5" t="b">
        <v>1</v>
      </c>
      <c r="R49" s="5" t="inlineStr">
        <is>
          <t>The answer restates the evidence nearly verbatim: territorial expansion of offerings and rising enrollment, along with some scholarship and tutoring programmes. The only change is rephrasing 'along with' as 'accompanied by', which is trivial rewording. | The question names Argentina's university system explicitly and does not depend on any unseen context.</t>
        </is>
      </c>
      <c r="S49" s="5" t="inlineStr">
        <is>
          <t>Which policies have served as the principal inclusion measures in Argentine higher education, and what additional programmes accompany them?</t>
        </is>
      </c>
      <c r="T49" s="5" t="inlineStr">
        <is>
          <t>In Argentina's university system, what do the main inclusion policies consist of, and what complements them?</t>
        </is>
      </c>
      <c r="U49" s="5" t="inlineStr"/>
      <c r="V49" s="5" t="inlineStr"/>
      <c r="W49" s="5" t="inlineStr"/>
      <c r="X49" s="5" t="inlineStr">
        <is>
          <t>pilot</t>
        </is>
      </c>
      <c r="Y49" s="5" t="inlineStr">
        <is>
          <t>budd-l-hall-rajesh-2021-socially-responsible:0027:q1</t>
        </is>
      </c>
    </row>
    <row r="50">
      <c r="A50" s="5" t="n">
        <v>49</v>
      </c>
      <c r="B50" s="5" t="b">
        <v>0</v>
      </c>
      <c r="C50" s="6" t="n"/>
      <c r="D50" s="6" t="n"/>
      <c r="E50" s="5" t="n"/>
      <c r="F50" s="5" t="inlineStr">
        <is>
          <t>According to García de Fanelli (2014), why are dropout levels in Argentine higher education high among young people from lower-income sectors?</t>
        </is>
      </c>
      <c r="G50" s="5" t="inlineStr">
        <is>
          <t>García de Fanelli (2014) points out that levels of abandonment are high, particularly for young people from lower-income socioeconomic sectors. Higher education is associated with the cultural capital of the family and with young people's chances of having access to quality high school education.</t>
        </is>
      </c>
      <c r="H50" s="5" t="inlineStr">
        <is>
          <t>Socially Responsible Higher Education, p. 50</t>
        </is>
      </c>
      <c r="I50" s="5" t="inlineStr">
        <is>
          <t>However, as García de Fanelli (2014, p. 290) points out, levels of abandonment are high, particularly for young people from lower-income socioeconomic sectors, given that "[higher education] is associated with the cultural capital of the family and with the possibilities of young people having access to quality high school education".</t>
        </is>
      </c>
      <c r="J50" s="5" t="b">
        <v>1</v>
      </c>
      <c r="K50" s="5" t="inlineStr"/>
      <c r="L50" s="5" t="b">
        <v>0</v>
      </c>
      <c r="M50" s="5" t="inlineStr">
        <is>
          <t>definition</t>
        </is>
      </c>
      <c r="N50" s="5" t="inlineStr">
        <is>
          <t>medium</t>
        </is>
      </c>
      <c r="O50" s="5" t="inlineStr">
        <is>
          <t>equity_accessibility</t>
        </is>
      </c>
      <c r="P50" s="5" t="n">
        <v>5</v>
      </c>
      <c r="Q50" s="5" t="b">
        <v>1</v>
      </c>
      <c r="R50" s="5" t="inlineStr">
        <is>
          <t>Both statements in the answer restate the evidence directly: high abandonment among lower-income youth, and the link to family cultural capital and access to quality high school education. | The question names the specific author, year and topic, and contains no references to unseen context.</t>
        </is>
      </c>
      <c r="S50" s="5" t="inlineStr">
        <is>
          <t>Why does García de Fanelli (2014) say abandonment of Argentine higher education is high among lower-income young people?</t>
        </is>
      </c>
      <c r="T50" s="5" t="inlineStr">
        <is>
          <t>What reason does García de Fanelli (2014) give for high dropout among low-income youth in Argentine higher education?</t>
        </is>
      </c>
      <c r="U50" s="5" t="inlineStr"/>
      <c r="V50" s="5" t="inlineStr"/>
      <c r="W50" s="5" t="inlineStr"/>
      <c r="X50" s="5" t="inlineStr">
        <is>
          <t>pilot</t>
        </is>
      </c>
      <c r="Y50" s="5" t="inlineStr">
        <is>
          <t>budd-l-hall-rajesh-2021-socially-responsible:0027:q2</t>
        </is>
      </c>
    </row>
    <row r="51">
      <c r="A51" s="5" t="n">
        <v>50</v>
      </c>
      <c r="B51" s="5" t="b">
        <v>0</v>
      </c>
      <c r="C51" s="6" t="n"/>
      <c r="D51" s="6" t="n"/>
      <c r="E51" s="5" t="n"/>
      <c r="F51" s="5" t="inlineStr">
        <is>
          <t>A researcher comparing Argentina and Brazil asks how Argentina's undergraduate enrollment grew between 2007 and 2017 and whether that growth has solved dropout among low-income students. What is stated about each?</t>
        </is>
      </c>
      <c r="G51" s="5" t="inlineStr">
        <is>
          <t>Argentine undergraduate enrollment rose steadily at an average of 2.8% per year, from 1,569,063 in 2007 to 2,005,152 in 2017. Territorial expansion and enrollment growth have been main inclusion policies. However, levels of abandonment remain high, particularly for young people from lower-income socioeconomic sectors, because higher education is associated with family cultural capital and access to quality high school education.</t>
        </is>
      </c>
      <c r="H51" s="5" t="inlineStr">
        <is>
          <t>Socially Responsible Higher Education, p. 50</t>
        </is>
      </c>
      <c r="I51" s="5" t="inlineStr">
        <is>
          <t>In the last 10 years, the population of undergraduate students has risen steadily at an average rate of 2.8% per year, from 1,569,063 in 2007 to 2,005,152 in 2017. New registrants increased annually at a rate of 4.2%, from 362,735 in 2007 to 516,305 in 2017, and graduate students at a rate of 4.5%, from 86,528 to 125,328 in the same period. … One of the main policies of inclusion in the Argentine university system has been the territorial expansion of offerings and the sustained increase in enrollment, along with some scholarship and tutoring programmes for courses. … However, as García de Fanelli (2014, p. 290) points out, levels of abandonment are high, particularly for young people from lower-income socioeconomic sectors, given that "[higher education] is associated with the cultural capital of the family and with the possibilities of young people having access to quality high school education".</t>
        </is>
      </c>
      <c r="J51" s="5" t="b">
        <v>1</v>
      </c>
      <c r="K51" s="5" t="inlineStr"/>
      <c r="L51" s="5" t="b">
        <v>0</v>
      </c>
      <c r="M51" s="5" t="inlineStr">
        <is>
          <t>application</t>
        </is>
      </c>
      <c r="N51" s="5" t="inlineStr">
        <is>
          <t>hard</t>
        </is>
      </c>
      <c r="O51" s="5" t="inlineStr">
        <is>
          <t>equity_accessibility</t>
        </is>
      </c>
      <c r="P51" s="5" t="n">
        <v>4</v>
      </c>
      <c r="Q51" s="5" t="b">
        <v>1</v>
      </c>
      <c r="R51" s="5" t="inlineStr">
        <is>
          <t>The enrollment figures and the dropout explanation match the evidence. There is minor rewording: 'one of the main policies' becomes 'main inclusion policies', and 'are high' becomes 'remain high'. | The question names the country, the period and the topics explicitly, with no reference to unseen context.</t>
        </is>
      </c>
      <c r="S51" s="5" t="inlineStr">
        <is>
          <t>For a comparative study, what is known about Argentina's undergraduate enrollment growth from 2007 to 2017 and about dropout among lower-income students?</t>
        </is>
      </c>
      <c r="T51" s="5" t="inlineStr">
        <is>
          <t>A scholar examining Argentine higher education wants to know the 2007–2017 undergraduate growth figures and the state of dropout among poorer students. What is stated?</t>
        </is>
      </c>
      <c r="U51" s="5" t="inlineStr"/>
      <c r="V51" s="5" t="inlineStr"/>
      <c r="W51" s="5" t="inlineStr"/>
      <c r="X51" s="5" t="inlineStr">
        <is>
          <t>pilot</t>
        </is>
      </c>
      <c r="Y51" s="5" t="inlineStr">
        <is>
          <t>budd-l-hall-rajesh-2021-socially-responsible:0027:q3</t>
        </is>
      </c>
    </row>
    <row r="52">
      <c r="A52" s="5" t="n">
        <v>51</v>
      </c>
      <c r="B52" s="5" t="b">
        <v>0</v>
      </c>
      <c r="C52" s="6" t="n"/>
      <c r="D52" s="6" t="n"/>
      <c r="E52" s="5" t="n"/>
      <c r="F52" s="5" t="inlineStr">
        <is>
          <t>What does Article 130 of Peru's Law 30220 require every university to create?</t>
        </is>
      </c>
      <c r="G52" s="5" t="inlineStr">
        <is>
          <t>Article 130 obliges every university to create a Programa de Servicio Social Universitario (University Social Service Programme). Through it, students apply knowledge in a way that improves the quality of life of people in traditionally marginalised groups.</t>
        </is>
      </c>
      <c r="H52" s="5" t="inlineStr">
        <is>
          <t>Socially Responsible Higher Education, p. 220</t>
        </is>
      </c>
      <c r="I52" s="5" t="inlineStr">
        <is>
          <t>Article 130 establishes the obligation to implement SRHEI. Per this article, every university should create a Programa de Servicio Social Universitario (University Social Service Programme), through which students apply knowledge in a way that improves the quality of life of people in traditionally marginalised groups.</t>
        </is>
      </c>
      <c r="J52" s="5" t="b">
        <v>1</v>
      </c>
      <c r="K52" s="5" t="inlineStr"/>
      <c r="L52" s="5" t="b">
        <v>0</v>
      </c>
      <c r="M52" s="5" t="inlineStr">
        <is>
          <t>factual</t>
        </is>
      </c>
      <c r="N52" s="5" t="inlineStr">
        <is>
          <t>easy</t>
        </is>
      </c>
      <c r="O52" s="5" t="inlineStr">
        <is>
          <t>governance</t>
        </is>
      </c>
      <c r="P52" s="5" t="n">
        <v>5</v>
      </c>
      <c r="Q52" s="5" t="b">
        <v>1</v>
      </c>
      <c r="R52" s="5" t="inlineStr">
        <is>
          <t>Both statements, the programme name and the students' application of knowledge to improve the quality of life of marginalised groups, are stated directly in the evidence. | The question names the specific law, article and country, so it can be understood without the source.</t>
        </is>
      </c>
      <c r="S52" s="5" t="inlineStr">
        <is>
          <t>Which programme must every Peruvian university set up under Article 130 of Law 30220?</t>
        </is>
      </c>
      <c r="T52" s="5" t="inlineStr">
        <is>
          <t>Under Article 130 of Peru's Law 30220, what programme is each university obliged to establish?</t>
        </is>
      </c>
      <c r="U52" s="5" t="inlineStr"/>
      <c r="V52" s="5" t="inlineStr"/>
      <c r="W52" s="5" t="inlineStr"/>
      <c r="X52" s="5" t="inlineStr">
        <is>
          <t>pilot</t>
        </is>
      </c>
      <c r="Y52" s="5" t="inlineStr">
        <is>
          <t>budd-l-hall-rajesh-2021-socially-responsible:0118:q1</t>
        </is>
      </c>
    </row>
    <row r="53">
      <c r="A53" s="5" t="n">
        <v>52</v>
      </c>
      <c r="B53" s="5" t="b">
        <v>0</v>
      </c>
      <c r="C53" s="6" t="n"/>
      <c r="D53" s="6" t="n"/>
      <c r="E53" s="5" t="n"/>
      <c r="F53" s="5" t="inlineStr">
        <is>
          <t>Which principles do Articles 5 and 6 of Peru's Law 30220 establish as guiding higher education, and what do they ask of universities?</t>
        </is>
      </c>
      <c r="G53" s="5" t="inlineStr">
        <is>
          <t>Articles 5 and 6 establish pluralism, inclusion, intercultural dialogue and commitment to the country's development as the guiding principles of higher education. Universities should strive to interact with the community and engage in socially relevant teaching and research.</t>
        </is>
      </c>
      <c r="H53" s="5" t="inlineStr">
        <is>
          <t>Socially Responsible Higher Education, p. 219</t>
        </is>
      </c>
      <c r="I53" s="5" t="inlineStr">
        <is>
          <t>Articles 5 and 6 establish that pluralism, inclusion, intercultural dialogue and commitment to the country's development are the guiding principles of higher education, and universities should strive to interact with the community and engage in socially relevant teaching and research.</t>
        </is>
      </c>
      <c r="J53" s="5" t="b">
        <v>1</v>
      </c>
      <c r="K53" s="5" t="inlineStr"/>
      <c r="L53" s="5" t="b">
        <v>0</v>
      </c>
      <c r="M53" s="5" t="inlineStr">
        <is>
          <t>definition</t>
        </is>
      </c>
      <c r="N53" s="5" t="inlineStr">
        <is>
          <t>medium</t>
        </is>
      </c>
      <c r="O53" s="5" t="inlineStr">
        <is>
          <t>leadership_strategy</t>
        </is>
      </c>
      <c r="P53" s="5" t="n">
        <v>5</v>
      </c>
      <c r="Q53" s="5" t="b">
        <v>1</v>
      </c>
      <c r="R53" s="5" t="inlineStr">
        <is>
          <t>Every statement in the answer is directly stated in the evidence: the four guiding principles and the expectation that universities interact with the community and engage in socially relevant teaching and research. | The question names a specific law and articles (Peru's Law 30220, Articles 5 and 6). It relies on no unseen context.</t>
        </is>
      </c>
      <c r="S53" s="5" t="inlineStr">
        <is>
          <t>What guiding principles of higher education are set out in Articles 5 and 6 of Peru's Law 30220, and what should universities do?</t>
        </is>
      </c>
      <c r="T53" s="5" t="inlineStr">
        <is>
          <t>According to Articles 5 and 6 of Peru's Law 30220, what are the guiding principles of higher education and what are universities expected to strive for?</t>
        </is>
      </c>
      <c r="U53" s="5" t="inlineStr"/>
      <c r="V53" s="5" t="inlineStr"/>
      <c r="W53" s="5" t="inlineStr"/>
      <c r="X53" s="5" t="inlineStr">
        <is>
          <t>pilot</t>
        </is>
      </c>
      <c r="Y53" s="5" t="inlineStr">
        <is>
          <t>budd-l-hall-rajesh-2021-socially-responsible:0118:q2</t>
        </is>
      </c>
    </row>
    <row r="54">
      <c r="A54" s="5" t="n">
        <v>53</v>
      </c>
      <c r="B54" s="5" t="b">
        <v>0</v>
      </c>
      <c r="C54" s="6" t="n"/>
      <c r="D54" s="6" t="n"/>
      <c r="E54" s="5" t="n"/>
      <c r="F54" s="5" t="inlineStr">
        <is>
          <t>What did a 2017 ENARSU Network study find about how many of 50 surveyed Peruvian universities treated social responsibility as a central pillar?</t>
        </is>
      </c>
      <c r="G54" s="5" t="inlineStr">
        <is>
          <t>The 2017 ENARSU Network study found that only 43% of the 50 universities surveyed considered social responsibility in higher education a central pillar of their institution.</t>
        </is>
      </c>
      <c r="H54" s="5" t="inlineStr">
        <is>
          <t>Socially Responsible Higher Education, p. 220</t>
        </is>
      </c>
      <c r="I54" s="5" t="inlineStr">
        <is>
          <t>a 2017 study by Peru's ENARSU Network (Network of the National Meeting on Social Responsibility in Higher Education) found that only 43% of the 50 universities surveyed considered SRHEI as a central pillar in their institution (Stojnic Chávez &amp; Jungbluth Melgar, 2017, p. 4). This last report also found that only 36% of universities studied were incorporating SRHEI into curriculums and campus life</t>
        </is>
      </c>
      <c r="J54" s="5" t="b">
        <v>1</v>
      </c>
      <c r="K54" s="5" t="inlineStr"/>
      <c r="L54" s="5" t="b">
        <v>0</v>
      </c>
      <c r="M54" s="5" t="inlineStr">
        <is>
          <t>factual</t>
        </is>
      </c>
      <c r="N54" s="5" t="inlineStr">
        <is>
          <t>easy</t>
        </is>
      </c>
      <c r="O54" s="5" t="inlineStr">
        <is>
          <t>monitoring_improvement</t>
        </is>
      </c>
      <c r="P54" s="5" t="n">
        <v>5</v>
      </c>
      <c r="Q54" s="5" t="b">
        <v>1</v>
      </c>
      <c r="R54" s="5" t="inlineStr">
        <is>
          <t>The answer directly restates the evidence: a 2017 ENARSU Network study found that only 43% of the 50 universities surveyed considered SRHEI a central pillar. Expanding SRHEI as 'social responsibility in higher education' is supported by the network's name. | The question names the study by its network, year and sample (50 Peruvian universities). ENARSU is the network's proper name, not an undefined generic acronym, so the question is understandable without the source.</t>
        </is>
      </c>
      <c r="S54" s="5" t="inlineStr">
        <is>
          <t>In the 2017 ENARSU Network study of 50 Peruvian universities, what share considered social responsibility a central pillar?</t>
        </is>
      </c>
      <c r="T54" s="5" t="inlineStr">
        <is>
          <t>What percentage of the 50 Peruvian universities surveyed by the ENARSU Network in 2017 saw social responsibility as a central pillar of the institution?</t>
        </is>
      </c>
      <c r="U54" s="5" t="inlineStr"/>
      <c r="V54" s="5" t="inlineStr"/>
      <c r="W54" s="5" t="inlineStr"/>
      <c r="X54" s="5" t="inlineStr">
        <is>
          <t>pilot</t>
        </is>
      </c>
      <c r="Y54" s="5" t="inlineStr">
        <is>
          <t>budd-l-hall-rajesh-2021-socially-responsible:0118:q3</t>
        </is>
      </c>
    </row>
    <row r="55">
      <c r="A55" s="5" t="n">
        <v>54</v>
      </c>
      <c r="B55" s="5" t="b">
        <v>0</v>
      </c>
      <c r="C55" s="6" t="n"/>
      <c r="D55" s="6" t="n"/>
      <c r="E55" s="5" t="n"/>
      <c r="F55" s="5" t="inlineStr">
        <is>
          <t>A university plans to deploy a personalized learning AI system that recommends study paths to individual students. What should the system provide about its recommendations, and what should its decision-making be based on?</t>
        </is>
      </c>
      <c r="G55" s="5" t="inlineStr">
        <is>
          <t>The system should explain how it arrived at recommendations for individual students, including the factors considered and the goals of those recommendations. Its decision-making processes should be transparent and based on all relevant data, including student performance, demographic information and behavioural factors.</t>
        </is>
      </c>
      <c r="H55" s="5" t="inlineStr">
        <is>
          <t>Towards Ethical and Socially Responsible Explainable AI, pp. 67-68</t>
        </is>
      </c>
      <c r="I55" s="5" t="inlineStr">
        <is>
          <t>Explanations of how the system arrived at recommendations for individual students, including the factors considered and the goals of those recommendations … Decision-making processes should be transparent and based on all relevant data, including student performance, demographic information and behavioural factors</t>
        </is>
      </c>
      <c r="J55" s="5" t="b">
        <v>1</v>
      </c>
      <c r="K55" s="5" t="inlineStr"/>
      <c r="L55" s="5" t="b">
        <v>0</v>
      </c>
      <c r="M55" s="5" t="inlineStr">
        <is>
          <t>application</t>
        </is>
      </c>
      <c r="N55" s="5" t="inlineStr">
        <is>
          <t>hard</t>
        </is>
      </c>
      <c r="O55" s="5" t="inlineStr">
        <is>
          <t>teaching_learning</t>
        </is>
      </c>
      <c r="P55" s="5" t="n">
        <v>5</v>
      </c>
      <c r="Q55" s="5" t="b">
        <v>1</v>
      </c>
      <c r="R55" s="5" t="inlineStr">
        <is>
          <t>Every statement in the answer directly restates the evidence. That covers the explanations of how recommendations were reached, including factors and goals, and the transparent decision-making based on all relevant data such as performance, demographics and behaviour. | The question sets out a concrete scenario, a university deploying a personalized learning AI that recommends study paths. It refers to no unseen source, document or undefined term.</t>
        </is>
      </c>
      <c r="S55" s="5" t="inlineStr">
        <is>
          <t>A university is rolling out an AI personalized learning tool that suggests study paths for each student. What explanations should it give for its recommendations, and what data should its decisions rest on?</t>
        </is>
      </c>
      <c r="T55" s="5" t="inlineStr">
        <is>
          <t>If a university adopts a personalized learning AI that makes recommendations to individual students, what should it explain about those recommendations and what should its decision-making draw upon?</t>
        </is>
      </c>
      <c r="U55" s="5" t="inlineStr"/>
      <c r="V55" s="5" t="inlineStr"/>
      <c r="W55" s="5" t="inlineStr"/>
      <c r="X55" s="5" t="inlineStr">
        <is>
          <t>pilot</t>
        </is>
      </c>
      <c r="Y55" s="5" t="inlineStr">
        <is>
          <t>towards-ethical:0028:q0</t>
        </is>
      </c>
    </row>
    <row r="56">
      <c r="A56" s="5" t="n">
        <v>55</v>
      </c>
      <c r="B56" s="5" t="b">
        <v>0</v>
      </c>
      <c r="C56" s="6" t="n"/>
      <c r="D56" s="6" t="n"/>
      <c r="E56" s="5" t="n"/>
      <c r="F56" s="5" t="inlineStr">
        <is>
          <t>In personalized learning AI systems for education, what does fairness require of the system?</t>
        </is>
      </c>
      <c r="G56" s="5" t="inlineStr">
        <is>
          <t>Fairness requires the system to consider each student's individual needs and characteristics and to avoid reinforcing educational inequalities.</t>
        </is>
      </c>
      <c r="H56" s="5" t="inlineStr">
        <is>
          <t>Towards Ethical and Socially Responsible Explainable AI, p. 68</t>
        </is>
      </c>
      <c r="I56" s="5" t="inlineStr">
        <is>
          <t>Fairness requires the system to consider each student's individual needs and characteristics and avoid reinforcing educational inequalities</t>
        </is>
      </c>
      <c r="J56" s="5" t="b">
        <v>1</v>
      </c>
      <c r="K56" s="5" t="inlineStr"/>
      <c r="L56" s="5" t="b">
        <v>0</v>
      </c>
      <c r="M56" s="5" t="inlineStr">
        <is>
          <t>definition</t>
        </is>
      </c>
      <c r="N56" s="5" t="inlineStr">
        <is>
          <t>medium</t>
        </is>
      </c>
      <c r="O56" s="5" t="inlineStr">
        <is>
          <t>equity_accessibility</t>
        </is>
      </c>
      <c r="P56" s="5" t="n">
        <v>5</v>
      </c>
      <c r="Q56" s="5" t="b">
        <v>1</v>
      </c>
      <c r="R56" s="5" t="inlineStr">
        <is>
          <t>The answer reproduces the evidence nearly verbatim, adding only a repeated "to" before "avoid". It introduces no unsupported claims. | The question names its topic (personalized learning AI systems in education) and does not refer to any unseen source or context.</t>
        </is>
      </c>
      <c r="S56" s="5" t="inlineStr">
        <is>
          <t>What does fairness demand from an AI-based personalized learning system in education?</t>
        </is>
      </c>
      <c r="T56" s="5" t="inlineStr">
        <is>
          <t>For educational personalized learning AI, what is required for the system to be fair?</t>
        </is>
      </c>
      <c r="U56" s="5" t="inlineStr"/>
      <c r="V56" s="5" t="inlineStr"/>
      <c r="W56" s="5" t="inlineStr"/>
      <c r="X56" s="5" t="inlineStr">
        <is>
          <t>pilot</t>
        </is>
      </c>
      <c r="Y56" s="5" t="inlineStr">
        <is>
          <t>towards-ethical:0028:q1</t>
        </is>
      </c>
    </row>
    <row r="57">
      <c r="A57" s="5" t="n">
        <v>56</v>
      </c>
      <c r="B57" s="5" t="b">
        <v>0</v>
      </c>
      <c r="C57" s="6" t="n"/>
      <c r="D57" s="6" t="n"/>
      <c r="E57" s="5" t="n"/>
      <c r="F57" s="5" t="inlineStr">
        <is>
          <t>What legal compliance is expected of educational AI systems?</t>
        </is>
      </c>
      <c r="G57" s="5" t="inlineStr">
        <is>
          <t>Educational AI systems must comply with educational regulations and laws, including student privacy laws and anti-discrimination laws.</t>
        </is>
      </c>
      <c r="H57" s="5" t="inlineStr">
        <is>
          <t>Towards Ethical and Socially Responsible Explainable AI, p. 68</t>
        </is>
      </c>
      <c r="I57" s="5" t="inlineStr">
        <is>
          <t>Compliance with educational regulations and laws, including student privacy laws and anti-discrimination laws</t>
        </is>
      </c>
      <c r="J57" s="5" t="b">
        <v>1</v>
      </c>
      <c r="K57" s="5" t="inlineStr"/>
      <c r="L57" s="5" t="b">
        <v>0</v>
      </c>
      <c r="M57" s="5" t="inlineStr">
        <is>
          <t>definition</t>
        </is>
      </c>
      <c r="N57" s="5" t="inlineStr">
        <is>
          <t>medium</t>
        </is>
      </c>
      <c r="O57" s="5" t="inlineStr">
        <is>
          <t>governance</t>
        </is>
      </c>
      <c r="P57" s="5" t="n">
        <v>4</v>
      </c>
      <c r="Q57" s="5" t="b">
        <v>1</v>
      </c>
      <c r="R57" s="5" t="inlineStr">
        <is>
          <t>The answer restates the evidence nearly verbatim. Framing it as something educational AI systems 'must' do is a slight rewording of what is a listed compliance expectation. | The question is self-contained and refers to no unseen context.</t>
        </is>
      </c>
      <c r="S57" s="5" t="inlineStr">
        <is>
          <t>Which regulations and laws must AI systems in education comply with?</t>
        </is>
      </c>
      <c r="T57" s="5" t="inlineStr">
        <is>
          <t>What kinds of laws must educational AI systems adhere to?</t>
        </is>
      </c>
      <c r="U57" s="5" t="inlineStr"/>
      <c r="V57" s="5" t="inlineStr"/>
      <c r="W57" s="5" t="inlineStr"/>
      <c r="X57" s="5" t="inlineStr">
        <is>
          <t>pilot</t>
        </is>
      </c>
      <c r="Y57" s="5" t="inlineStr">
        <is>
          <t>towards-ethical:0028:q3</t>
        </is>
      </c>
    </row>
    <row r="58">
      <c r="A58" s="5" t="n">
        <v>57</v>
      </c>
      <c r="B58" s="5" t="b">
        <v>0</v>
      </c>
      <c r="C58" s="6" t="n"/>
      <c r="D58" s="6" t="n"/>
      <c r="E58" s="5" t="n"/>
      <c r="F58" s="5" t="inlineStr">
        <is>
          <t>Why is accuracy important in educational AI systems?</t>
        </is>
      </c>
      <c r="G58" s="5" t="inlineStr">
        <is>
          <t>Accuracy is important to ensure that students receive appropriate and effective instruction.</t>
        </is>
      </c>
      <c r="H58" s="5" t="inlineStr">
        <is>
          <t>Towards Ethical and Socially Responsible Explainable AI, p. 68</t>
        </is>
      </c>
      <c r="I58" s="5" t="inlineStr">
        <is>
          <t>Accuracy is important to ensure that students receive appropriate and effective instruction</t>
        </is>
      </c>
      <c r="J58" s="5" t="b">
        <v>1</v>
      </c>
      <c r="K58" s="5" t="inlineStr"/>
      <c r="L58" s="5" t="b">
        <v>0</v>
      </c>
      <c r="M58" s="5" t="inlineStr">
        <is>
          <t>definition</t>
        </is>
      </c>
      <c r="N58" s="5" t="inlineStr">
        <is>
          <t>medium</t>
        </is>
      </c>
      <c r="O58" s="5" t="inlineStr">
        <is>
          <t>teaching_learning</t>
        </is>
      </c>
      <c r="P58" s="5" t="n">
        <v>5</v>
      </c>
      <c r="Q58" s="5" t="b">
        <v>1</v>
      </c>
      <c r="R58" s="5" t="inlineStr">
        <is>
          <t>The answer restates the evidence almost verbatim, with no added claims. | The question is self-contained and clearly asks why accuracy matters in AI systems used in education, with no reference to unseen context.</t>
        </is>
      </c>
      <c r="S58" s="5" t="inlineStr">
        <is>
          <t>What is the reason accuracy matters for AI systems used in education?</t>
        </is>
      </c>
      <c r="T58" s="5" t="inlineStr">
        <is>
          <t>What makes accuracy a key requirement for AI systems used in education?</t>
        </is>
      </c>
      <c r="U58" s="5" t="inlineStr"/>
      <c r="V58" s="5" t="inlineStr"/>
      <c r="W58" s="5" t="inlineStr"/>
      <c r="X58" s="5" t="inlineStr">
        <is>
          <t>pilot</t>
        </is>
      </c>
      <c r="Y58" s="5" t="inlineStr">
        <is>
          <t>towards-ethical:0028:q4</t>
        </is>
      </c>
    </row>
    <row r="59">
      <c r="A59" s="5" t="n">
        <v>58</v>
      </c>
      <c r="B59" s="5" t="b">
        <v>0</v>
      </c>
      <c r="C59" s="6" t="n"/>
      <c r="D59" s="6" t="n"/>
      <c r="E59" s="5" t="n"/>
      <c r="F59" s="5" t="inlineStr">
        <is>
          <t>What example is given of an accountability mechanism in the form of an internal body that deals with AI bias?</t>
        </is>
      </c>
      <c r="G59" s="5" t="inlineStr">
        <is>
          <t>The example given is implementing an internal review board to assess and rectify AI system biases. Accountability mechanisms involve establishing processes and mechanisms to track and address AI-related issues and decisions.</t>
        </is>
      </c>
      <c r="H59" s="5" t="inlineStr">
        <is>
          <t>Towards Ethical and Socially Responsible Explainable AI, p. 151</t>
        </is>
      </c>
      <c r="I59" s="5" t="inlineStr">
        <is>
          <t>| Accountability mechanisms        | Establishing processes and mechanisms to track and address AI-related issues and decisions                         | Implementing an internal review board to assess and rectify AI system biases                           |</t>
        </is>
      </c>
      <c r="J59" s="5" t="b">
        <v>1</v>
      </c>
      <c r="K59" s="5" t="inlineStr"/>
      <c r="L59" s="5" t="b">
        <v>0</v>
      </c>
      <c r="M59" s="5" t="inlineStr">
        <is>
          <t>factual</t>
        </is>
      </c>
      <c r="N59" s="5" t="inlineStr">
        <is>
          <t>easy</t>
        </is>
      </c>
      <c r="O59" s="5" t="inlineStr">
        <is>
          <t>governance</t>
        </is>
      </c>
      <c r="P59" s="5" t="n">
        <v>5</v>
      </c>
      <c r="Q59" s="5" t="b">
        <v>1</v>
      </c>
      <c r="R59" s="5" t="inlineStr">
        <is>
          <t>Both statements in the answer, the internal review board example and the description of accountability mechanisms, are taken directly from the evidence row. | The question is understandable without the source: it asks for an example of an internal body that serves as an accountability mechanism for AI bias. It uses no unexplained references or acronyms.</t>
        </is>
      </c>
      <c r="S59" s="5" t="inlineStr">
        <is>
          <t>In AI accountability, what internal body is given as an example of an accountability mechanism for biases?</t>
        </is>
      </c>
      <c r="T59" s="5" t="inlineStr">
        <is>
          <t>Which internal body is cited as an example of an accountability mechanism for addressing bias in AI?</t>
        </is>
      </c>
      <c r="U59" s="5" t="inlineStr"/>
      <c r="V59" s="5" t="inlineStr"/>
      <c r="W59" s="5" t="inlineStr"/>
      <c r="X59" s="5" t="inlineStr">
        <is>
          <t>pilot</t>
        </is>
      </c>
      <c r="Y59" s="5" t="inlineStr">
        <is>
          <t>towards-ethical:0077:q1</t>
        </is>
      </c>
    </row>
    <row r="60">
      <c r="A60" s="5" t="n">
        <v>59</v>
      </c>
      <c r="B60" s="5" t="b">
        <v>0</v>
      </c>
      <c r="C60" s="6" t="n"/>
      <c r="D60" s="6" t="n"/>
      <c r="E60" s="5" t="n"/>
      <c r="F60" s="5" t="inlineStr">
        <is>
          <t>What example is given for the liability aspect of AI accountability?</t>
        </is>
      </c>
      <c r="G60" s="5" t="inlineStr">
        <is>
          <t>The example is clarifying liability terms in contracts for AI system deployment in autonomous vehicles. Liability means determining legal responsibility for damages or harm caused by AI systems, including organizations and individuals.</t>
        </is>
      </c>
      <c r="H60" s="5" t="inlineStr">
        <is>
          <t>Towards Ethical and Socially Responsible Explainable AI, p. 151</t>
        </is>
      </c>
      <c r="I60" s="5" t="inlineStr">
        <is>
          <t>| Liability                        | Determining legal responsibility for damages or harm caused by AI systems, including organizations and individuals | Clarifying liability terms in contracts for AI system deployment in autonomous vehicles                |</t>
        </is>
      </c>
      <c r="J60" s="5" t="b">
        <v>1</v>
      </c>
      <c r="K60" s="5" t="inlineStr"/>
      <c r="L60" s="5" t="b">
        <v>0</v>
      </c>
      <c r="M60" s="5" t="inlineStr">
        <is>
          <t>factual</t>
        </is>
      </c>
      <c r="N60" s="5" t="inlineStr">
        <is>
          <t>easy</t>
        </is>
      </c>
      <c r="O60" s="5" t="inlineStr">
        <is>
          <t>governance</t>
        </is>
      </c>
      <c r="P60" s="5" t="n">
        <v>5</v>
      </c>
      <c r="Q60" s="5" t="b">
        <v>1</v>
      </c>
      <c r="R60" s="5" t="inlineStr">
        <is>
          <t>The answer gives both the definition and the example of liability exactly as they appear in the table row. It adds nothing beyond that row. | The question asks for an example of liability within AI accountability without pointing to unseen context. One could argue "is given" implies a particular source, but the topic itself is self-contained.</t>
        </is>
      </c>
      <c r="S60" s="5" t="inlineStr">
        <is>
          <t>Which example illustrates liability in AI accountability?</t>
        </is>
      </c>
      <c r="T60" s="5" t="inlineStr">
        <is>
          <t>What practice is cited as an example of addressing liability for harm caused by AI systems?</t>
        </is>
      </c>
      <c r="U60" s="5" t="inlineStr"/>
      <c r="V60" s="5" t="inlineStr"/>
      <c r="W60" s="5" t="inlineStr"/>
      <c r="X60" s="5" t="inlineStr">
        <is>
          <t>pilot</t>
        </is>
      </c>
      <c r="Y60" s="5" t="inlineStr">
        <is>
          <t>towards-ethical:0077:q2</t>
        </is>
      </c>
    </row>
    <row r="61">
      <c r="A61" s="5" t="n">
        <v>60</v>
      </c>
      <c r="B61" s="5" t="b">
        <v>0</v>
      </c>
      <c r="C61" s="6" t="n"/>
      <c r="D61" s="6" t="n"/>
      <c r="E61" s="5" t="n"/>
      <c r="F61" s="5" t="inlineStr">
        <is>
          <t>What example is given of user consent and control as an AI accountability aspect?</t>
        </is>
      </c>
      <c r="G61" s="5" t="inlineStr">
        <is>
          <t>The example is allowing users to customize privacy settings and opt in or out of data collection by an AI-driven personal assistant. The aspect ensures users have informed consent and control over how their data is used and interacted with by AI systems.</t>
        </is>
      </c>
      <c r="H61" s="5" t="inlineStr">
        <is>
          <t>Towards Ethical and Socially Responsible Explainable AI, p. 152</t>
        </is>
      </c>
      <c r="I61" s="5" t="inlineStr">
        <is>
          <t>| User consent and control         | Ensuring that users have informed consent and control over how their data is used and interacted with by AI systems  | Allowing users to customize privacy settings and opt in or out of data collection by an AI-driven personal assistant |</t>
        </is>
      </c>
      <c r="J61" s="5" t="b">
        <v>1</v>
      </c>
      <c r="K61" s="5" t="inlineStr"/>
      <c r="L61" s="5" t="b">
        <v>0</v>
      </c>
      <c r="M61" s="5" t="inlineStr">
        <is>
          <t>factual</t>
        </is>
      </c>
      <c r="N61" s="5" t="inlineStr">
        <is>
          <t>easy</t>
        </is>
      </c>
      <c r="O61" s="5" t="inlineStr">
        <is>
          <t>privacy_security</t>
        </is>
      </c>
      <c r="P61" s="5" t="n">
        <v>5</v>
      </c>
      <c r="Q61" s="5" t="b">
        <v>1</v>
      </c>
      <c r="R61" s="5" t="inlineStr">
        <is>
          <t>Both the example and the description of the aspect are directly stated in the evidence table row. | The question names the specific accountability aspect, user consent and control, and makes no reference to unseen context. A reader can understand it without the source.</t>
        </is>
      </c>
      <c r="S61" s="5" t="inlineStr">
        <is>
          <t>Which example illustrates user consent and control in AI accountability?</t>
        </is>
      </c>
      <c r="T61" s="5" t="inlineStr">
        <is>
          <t>What practice is cited to show users having informed consent and control over their data in AI systems?</t>
        </is>
      </c>
      <c r="U61" s="5" t="inlineStr"/>
      <c r="V61" s="5" t="inlineStr"/>
      <c r="W61" s="5" t="inlineStr"/>
      <c r="X61" s="5" t="inlineStr">
        <is>
          <t>pilot</t>
        </is>
      </c>
      <c r="Y61" s="5" t="inlineStr">
        <is>
          <t>towards-ethical:0077:q4</t>
        </is>
      </c>
    </row>
    <row r="62">
      <c r="A62" s="5" t="n">
        <v>61</v>
      </c>
      <c r="B62" s="5" t="b">
        <v>0</v>
      </c>
      <c r="C62" s="6" t="n"/>
      <c r="D62" s="6" t="n"/>
      <c r="E62" s="5" t="n"/>
      <c r="F62" s="5" t="inlineStr">
        <is>
          <t>Why must developers of ethical and socially responsible explainable AI balance transparency against confidentiality?</t>
        </is>
      </c>
      <c r="G62" s="5" t="inlineStr">
        <is>
          <t>AI systems often involve sensitive or confidential data, such as personal or financial information, which must be protected from unauthorized access. Transparency is also essential because it builds trust and helps ensure that the decisions AI systems make are fair and unbiased.</t>
        </is>
      </c>
      <c r="H62" s="5" t="inlineStr">
        <is>
          <t>Towards Ethical and Socially Responsible Explainable AI, p. 103</t>
        </is>
      </c>
      <c r="I62" s="5" t="inlineStr">
        <is>
          <t>AI systems often involve sensitive or confidential data, such as personal or financial information, and these data must be protected from unauthorized access. However, transparency is also essential in building trust and ensuring that the decisions made by AI systems are fair and unbiased.</t>
        </is>
      </c>
      <c r="J62" s="5" t="b">
        <v>1</v>
      </c>
      <c r="K62" s="5" t="inlineStr"/>
      <c r="L62" s="5" t="b">
        <v>0</v>
      </c>
      <c r="M62" s="5" t="inlineStr">
        <is>
          <t>explanation</t>
        </is>
      </c>
      <c r="N62" s="5" t="inlineStr">
        <is>
          <t>medium</t>
        </is>
      </c>
      <c r="O62" s="5" t="inlineStr">
        <is>
          <t>privacy_security</t>
        </is>
      </c>
      <c r="P62" s="5" t="n">
        <v>5</v>
      </c>
      <c r="Q62" s="5" t="b">
        <v>1</v>
      </c>
      <c r="R62" s="5" t="inlineStr">
        <is>
          <t>The answer only restates the evidence. It mentions sensitive data that must be protected, and it says transparency is essential for trust and for fair, unbiased decisions. | The question names its topic directly, explainable AI and the trade-off between transparency and confidentiality, and does not refer to any unseen context.</t>
        </is>
      </c>
      <c r="S62" s="5" t="inlineStr">
        <is>
          <t>What makes it necessary to weigh transparency against confidentiality when building ethical, socially responsible explainable AI?</t>
        </is>
      </c>
      <c r="T62" s="5" t="inlineStr">
        <is>
          <t>Why do transparency and confidentiality need to be balanced in explainable AI that is ethical and socially responsible?</t>
        </is>
      </c>
      <c r="U62" s="5" t="inlineStr"/>
      <c r="V62" s="5" t="inlineStr"/>
      <c r="W62" s="5" t="inlineStr"/>
      <c r="X62" s="5" t="inlineStr">
        <is>
          <t>pilot</t>
        </is>
      </c>
      <c r="Y62" s="5" t="inlineStr">
        <is>
          <t>towards-ethical:0051:q1</t>
        </is>
      </c>
    </row>
    <row r="63">
      <c r="A63" s="5" t="n">
        <v>62</v>
      </c>
      <c r="B63" s="5" t="b">
        <v>0</v>
      </c>
      <c r="C63" s="6" t="n"/>
      <c r="D63" s="6" t="n"/>
      <c r="E63" s="5" t="n"/>
      <c r="F63" s="5" t="inlineStr">
        <is>
          <t>A university is deploying an AI system that handles student financial records and wants to be transparent about its decisions. What approaches can reconcile transparency with protecting confidential data?</t>
        </is>
      </c>
      <c r="G63" s="5" t="inlineStr">
        <is>
          <t>One approach is data masking, where confidential information is concealed in a way that does not affect the overall outcome of the decision-making process. Another is to use explainable AI models that explain the system's decisions without revealing confidential data. Both are described as ways to keep systems transparent while protecting sensitive data.</t>
        </is>
      </c>
      <c r="H63" s="5" t="inlineStr">
        <is>
          <t>Towards Ethical and Socially Responsible Explainable AI, p. 103</t>
        </is>
      </c>
      <c r="I63" s="5" t="inlineStr">
        <is>
          <t>AI systems often involve sensitive or confidential data, such as personal or financial information, and these data must be protected from unauthorized access. However, transparency is also essential in building trust and ensuring that the decisions made by AI systems are fair and unbiased. … This can be achieved through techniques such as data masking, where confidential information is concealed in a way that does not affect the overall outcome of the decisionmaking process. … Another approach is to use explainable AI models that provide an explanation for the decisions made by the system without revealing confidential data [94, 95].</t>
        </is>
      </c>
      <c r="J63" s="5" t="b">
        <v>1</v>
      </c>
      <c r="K63" s="5" t="inlineStr"/>
      <c r="L63" s="5" t="b">
        <v>0</v>
      </c>
      <c r="M63" s="5" t="inlineStr">
        <is>
          <t>application</t>
        </is>
      </c>
      <c r="N63" s="5" t="inlineStr">
        <is>
          <t>hard</t>
        </is>
      </c>
      <c r="O63" s="5" t="inlineStr">
        <is>
          <t>privacy_security</t>
        </is>
      </c>
      <c r="P63" s="5" t="n">
        <v>4</v>
      </c>
      <c r="Q63" s="5" t="b">
        <v>1</v>
      </c>
      <c r="R63" s="5" t="inlineStr">
        <is>
          <t>The two approaches, data masking and explainable AI models, are stated directly in the evidence. The closing sentence about keeping systems transparent while protecting sensitive data is a fair rewording of the passage's framing. | The question sets out a concrete scenario and does not rely on any unseen context.</t>
        </is>
      </c>
      <c r="S63" s="5" t="inlineStr">
        <is>
          <t>A higher-education institution uses an AI system on students' financial records and wants decisions to be transparent. Which approaches reconcile transparency with confidentiality?</t>
        </is>
      </c>
      <c r="T63" s="5" t="inlineStr">
        <is>
          <t>How can a university keep an AI system that processes student financial data transparent while still protecting the confidential information?</t>
        </is>
      </c>
      <c r="U63" s="5" t="inlineStr"/>
      <c r="V63" s="5" t="inlineStr"/>
      <c r="W63" s="5" t="inlineStr"/>
      <c r="X63" s="5" t="inlineStr">
        <is>
          <t>pilot</t>
        </is>
      </c>
      <c r="Y63" s="5" t="inlineStr">
        <is>
          <t>towards-ethical:0051:q2</t>
        </is>
      </c>
    </row>
    <row r="64">
      <c r="A64" s="5" t="n">
        <v>63</v>
      </c>
      <c r="B64" s="5" t="b">
        <v>0</v>
      </c>
      <c r="C64" s="6" t="n"/>
      <c r="D64" s="6" t="n"/>
      <c r="E64" s="5" t="n"/>
      <c r="F64" s="5" t="inlineStr">
        <is>
          <t>Why should clear guidelines and standards for confidentiality and transparency be established in AI development and deployment?</t>
        </is>
      </c>
      <c r="G64" s="5" t="inlineStr">
        <is>
          <t>The definition of confidential information may vary depending on the stakeholders involved. What a company considers confidential may differ from what a regulatory body or the public considers confidential. Therefore, it is essential to establish clear guidelines and standards for confidentiality and transparency.</t>
        </is>
      </c>
      <c r="H64" s="5" t="inlineStr">
        <is>
          <t>Towards Ethical and Socially Responsible Explainable AI, p. 104</t>
        </is>
      </c>
      <c r="I64" s="5" t="inlineStr">
        <is>
          <t>Another challenge is that the definition of what constitutes confidential information may vary depending on the stakeholders involved [96]. For example, what is considered confidential information by a company may be different from what is considered confidential information by a regulatory body or the public. Therefore, it is essential to establish clear guidelines and standards for confidentiality and transparency in the development and deployment of AI systems [97, 98].</t>
        </is>
      </c>
      <c r="J64" s="5" t="b">
        <v>1</v>
      </c>
      <c r="K64" s="5" t="inlineStr"/>
      <c r="L64" s="5" t="b">
        <v>0</v>
      </c>
      <c r="M64" s="5" t="inlineStr">
        <is>
          <t>explanation</t>
        </is>
      </c>
      <c r="N64" s="5" t="inlineStr">
        <is>
          <t>medium</t>
        </is>
      </c>
      <c r="O64" s="5" t="inlineStr">
        <is>
          <t>governance</t>
        </is>
      </c>
      <c r="P64" s="5" t="n">
        <v>5</v>
      </c>
      <c r="Q64" s="5" t="b">
        <v>1</v>
      </c>
      <c r="R64" s="5" t="inlineStr">
        <is>
          <t>Every statement in the answer is directly stated in the evidence: confidentiality definitions vary by stakeholder, the company-versus-regulator-or-public example, and the conclusion calling for clear guidelines. | The question is self-contained, clearly asks for the rationale, and does not refer to any unseen context.</t>
        </is>
      </c>
      <c r="S64" s="5" t="inlineStr">
        <is>
          <t>What reason is given for establishing clear confidentiality and transparency standards for AI systems?</t>
        </is>
      </c>
      <c r="T64" s="5" t="inlineStr">
        <is>
          <t>Why is it essential to set clear standards for confidentiality and transparency when developing and deploying AI?</t>
        </is>
      </c>
      <c r="U64" s="5" t="inlineStr"/>
      <c r="V64" s="5" t="inlineStr"/>
      <c r="W64" s="5" t="inlineStr"/>
      <c r="X64" s="5" t="inlineStr">
        <is>
          <t>pilot</t>
        </is>
      </c>
      <c r="Y64" s="5" t="inlineStr">
        <is>
          <t>towards-ethical:0051:q3</t>
        </is>
      </c>
    </row>
    <row r="65">
      <c r="A65" s="5" t="n">
        <v>64</v>
      </c>
      <c r="B65" s="5" t="b">
        <v>0</v>
      </c>
      <c r="C65" s="6" t="n"/>
      <c r="D65" s="6" t="n"/>
      <c r="E65" s="5" t="n"/>
      <c r="F65" s="5" t="inlineStr">
        <is>
          <t>A university committee must decide how transparent to make an AI system used for a high-stakes decision such as a medical or financial one, and what must be possible for relevant parties to do with its decision-making processes. What applies to the level of transparency and to auditability?</t>
        </is>
      </c>
      <c r="G65" s="5" t="inlineStr">
        <is>
          <t>The level of transparency needed depends on context. In cases such as medical diagnosis or financial decision-making, a high level of transparency may be necessary to build trust and ensure accountability, whereas in cases such as national security or defense, confidentiality may be paramount and transparency may need to be limited. Transparency requires clear and understandable explanations of the decision-making processes, the data used, and the outcomes produced by the system. It also requires that the system be auditable, meaning that the decision-making processes can be traced and verified by relevant parties.</t>
        </is>
      </c>
      <c r="H65" s="5" t="inlineStr">
        <is>
          <t>Towards Ethical and Socially Responsible Explainable AI, p. 104</t>
        </is>
      </c>
      <c r="I65" s="5" t="inlineStr">
        <is>
          <t>In some cases, such as medical diagnosis or financial decision-making, a high level of transparency may be necessary to build trust and ensure accountability. In other cases, such as national security or defense, confidentiality may be paramount, and transparency may need to be limited to protect sensitive information [1, 9, 12]. … This requires clear and understandable explanations of the decision-making processes, the data used, and the outcomes produced by the system. It also requires ensuring that the system is auditable, meaning that the decision-making processes can be traced and verified by relevant parties [9].</t>
        </is>
      </c>
      <c r="J65" s="5" t="b">
        <v>1</v>
      </c>
      <c r="K65" s="5" t="inlineStr"/>
      <c r="L65" s="5" t="b">
        <v>1</v>
      </c>
      <c r="M65" s="5" t="inlineStr">
        <is>
          <t>application</t>
        </is>
      </c>
      <c r="N65" s="5" t="inlineStr">
        <is>
          <t>hard</t>
        </is>
      </c>
      <c r="O65" s="5" t="inlineStr">
        <is>
          <t>governance</t>
        </is>
      </c>
      <c r="P65" s="5" t="n">
        <v>4</v>
      </c>
      <c r="Q65" s="5" t="b">
        <v>1</v>
      </c>
      <c r="R65" s="5" t="inlineStr">
        <is>
          <t>All substantive claims match the evidence. The opening line 'depends on context' is a light synthesis of the contrasting cases. Attributing 'This requires' to transparency is a reasonable reading of an elided antecedent. | The question sets up a concrete scenario and asks about transparency level and auditability without referring to unseen context or undefined terms.</t>
        </is>
      </c>
      <c r="S65" s="5" t="inlineStr">
        <is>
          <t>An institution's committee is setting the level of transparency for an AI system used in a high-stakes medical or financial decision, and wants to know what relevant parties must be able to do with its decision-making processes. What applies?</t>
        </is>
      </c>
      <c r="T65" s="5" t="inlineStr">
        <is>
          <t>For a university AI system making a high-stakes decision like a medical or financial one, how much transparency is needed, and what must relevant parties be able to do with its decision-making processes?</t>
        </is>
      </c>
      <c r="U65" s="5" t="inlineStr">
        <is>
          <t>A university committee must decide how transparent to make an AI system used for a high-stakes decision, and who must be able to examine it. What does the guidance on transparency and auditability say applies?</t>
        </is>
      </c>
      <c r="V65" s="5" t="inlineStr">
        <is>
          <t>Required transparency depends on context; in areas such as medical diagnosis or financial decision-making, a high level of transparency may be necessary to build trust and ensure accountability. The system should be transparent to users, developers and regulators through clear explanations of its decision-making processes, the data used and the outcomes. It should also be auditable, so that decisions can be traced and verified by relevant parties.</t>
        </is>
      </c>
      <c r="W65" s="5" t="inlineStr">
        <is>
          <t>grounding(3); not_standalone(judge). The claim that the system should be transparent to 'users, developers and regulators' is not in the quoted evidence, which elides that part. The rest, including context-dependence and auditability, is supported. The question relies on 'the guidance on transparency and auditability', an unidentified source the reader has not seen.</t>
        </is>
      </c>
      <c r="X65" s="5" t="inlineStr">
        <is>
          <t>pilot</t>
        </is>
      </c>
      <c r="Y65" s="5" t="inlineStr">
        <is>
          <t>towards-ethical:0051:q4</t>
        </is>
      </c>
    </row>
    <row r="66">
      <c r="A66" s="5" t="n">
        <v>65</v>
      </c>
      <c r="B66" s="5" t="b">
        <v>0</v>
      </c>
      <c r="C66" s="6" t="n"/>
      <c r="D66" s="6" t="n"/>
      <c r="E66" s="5" t="n"/>
      <c r="F66" s="5" t="inlineStr">
        <is>
          <t>Why is it essential for AI systems to adhere to applicable laws and regulations, and what does accountability in AI encompass in relation to this?</t>
        </is>
      </c>
      <c r="G66" s="5" t="inlineStr">
        <is>
          <t>Ensuring AI systems adhere to applicable laws and regulations is essential for protecting user rights, ensuring fairness, and preventing unintended consequences. Accountability is a fundamental principle in developing and deploying AI systems, and it encompasses legal and regulatory compliance, ethical considerations, and defining liability and responsibility.</t>
        </is>
      </c>
      <c r="H66" s="5" t="inlineStr">
        <is>
          <t>Towards Ethical and Socially Responsible Explainable AI, p. 171</t>
        </is>
      </c>
      <c r="I66" s="5" t="inlineStr">
        <is>
          <t>Accountability is a fundamental principle in the development and deployment of AI systems. It encompasses legal and regulatory compliance, ethical considerations, and defining liability and responsibility [4, 9, 12, 14, 27]. … Ensuring that AI systems adhere to applicable laws and regulations is essential for protecting user rights, ensuring fairness, and preventing unintended consequences [28].</t>
        </is>
      </c>
      <c r="J66" s="5" t="b">
        <v>1</v>
      </c>
      <c r="K66" s="5" t="inlineStr"/>
      <c r="L66" s="5" t="b">
        <v>0</v>
      </c>
      <c r="M66" s="5" t="inlineStr">
        <is>
          <t>explanation</t>
        </is>
      </c>
      <c r="N66" s="5" t="inlineStr">
        <is>
          <t>medium</t>
        </is>
      </c>
      <c r="O66" s="5" t="inlineStr">
        <is>
          <t>governance</t>
        </is>
      </c>
      <c r="P66" s="5" t="n">
        <v>5</v>
      </c>
      <c r="Q66" s="5" t="b">
        <v>1</v>
      </c>
      <c r="R66" s="5" t="inlineStr">
        <is>
          <t>Every statement in the answer is directly stated in the evidence: the reasons legal adherence is essential and the three components of accountability. | The question is self-contained, with no references to unseen sources or undefined terms.</t>
        </is>
      </c>
      <c r="S66" s="5" t="inlineStr">
        <is>
          <t>What makes adherence to applicable laws and regulations essential for AI systems, and which elements does AI accountability cover?</t>
        </is>
      </c>
      <c r="T66" s="5" t="inlineStr">
        <is>
          <t>Why must AI systems comply with relevant laws and regulations, and what is included in the principle of accountability in AI?</t>
        </is>
      </c>
      <c r="U66" s="5" t="inlineStr"/>
      <c r="V66" s="5" t="inlineStr"/>
      <c r="W66" s="5" t="inlineStr"/>
      <c r="X66" s="5" t="inlineStr">
        <is>
          <t>pilot</t>
        </is>
      </c>
      <c r="Y66" s="5" t="inlineStr">
        <is>
          <t>towards-ethical:0090:q0</t>
        </is>
      </c>
    </row>
    <row r="67">
      <c r="A67" s="5" t="n">
        <v>66</v>
      </c>
      <c r="B67" s="5" t="b">
        <v>0</v>
      </c>
      <c r="C67" s="6" t="n"/>
      <c r="D67" s="6" t="n"/>
      <c r="E67" s="5" t="n"/>
      <c r="F67" s="5" t="inlineStr">
        <is>
          <t>In best practices for accountability in AI, what does data privacy compliance involve?</t>
        </is>
      </c>
      <c r="G67" s="5" t="inlineStr">
        <is>
          <t>Data privacy compliance means adhering to data privacy laws such as the GDPR in the European Union or the CCPA in the United States. It involves implementing robust data protection measures, obtaining necessary consents, and enabling users to exercise their privacy rights.</t>
        </is>
      </c>
      <c r="H67" s="5" t="inlineStr">
        <is>
          <t>Towards Ethical and Socially Responsible Explainable AI, p. 171</t>
        </is>
      </c>
      <c r="I67" s="5" t="inlineStr">
        <is>
          <t>Data Privacy Compliance: Adhere to data privacy laws such as the General Data Protection Regulation (GDPR) in the European Union or the California Consumer Privacy Act (CCPA) in the United States [31]. Implement robust data protection measures, obtain necessary consents, and enable users to exercise their privacy rights.</t>
        </is>
      </c>
      <c r="J67" s="5" t="b">
        <v>1</v>
      </c>
      <c r="K67" s="5" t="inlineStr"/>
      <c r="L67" s="5" t="b">
        <v>0</v>
      </c>
      <c r="M67" s="5" t="inlineStr">
        <is>
          <t>definition</t>
        </is>
      </c>
      <c r="N67" s="5" t="inlineStr">
        <is>
          <t>medium</t>
        </is>
      </c>
      <c r="O67" s="5" t="inlineStr">
        <is>
          <t>privacy_security</t>
        </is>
      </c>
      <c r="P67" s="5" t="n">
        <v>5</v>
      </c>
      <c r="Q67" s="5" t="b">
        <v>1</v>
      </c>
      <c r="R67" s="5" t="inlineStr">
        <is>
          <t>Every statement in the answer is directly restated from the evidence. This covers adherence to GDPR and CCPA, robust data protection measures, obtaining consents, and enabling users to exercise their privacy rights. | The question names a clear topic, data privacy compliance among best practices for AI accountability, and does not rely on unseen context.</t>
        </is>
      </c>
      <c r="S67" s="5" t="inlineStr">
        <is>
          <t>What does the data privacy compliance practice for accountable AI require of developers and organizations?</t>
        </is>
      </c>
      <c r="T67" s="5" t="inlineStr">
        <is>
          <t>How is data privacy compliance described as a best practice for AI accountability?</t>
        </is>
      </c>
      <c r="U67" s="5" t="inlineStr"/>
      <c r="V67" s="5" t="inlineStr"/>
      <c r="W67" s="5" t="inlineStr"/>
      <c r="X67" s="5" t="inlineStr">
        <is>
          <t>pilot</t>
        </is>
      </c>
      <c r="Y67" s="5" t="inlineStr">
        <is>
          <t>towards-ethical:0090:q1</t>
        </is>
      </c>
    </row>
    <row r="68">
      <c r="A68" s="5" t="n">
        <v>67</v>
      </c>
      <c r="B68" s="5" t="b">
        <v>0</v>
      </c>
      <c r="C68" s="6" t="n"/>
      <c r="D68" s="6" t="n"/>
      <c r="E68" s="5" t="n"/>
      <c r="F68" s="5" t="inlineStr">
        <is>
          <t>A university is building an AI system that influences decisions affecting individuals' lives, such as admissions, and wants to follow accountability best practices on bias and societal impact. What should it do?</t>
        </is>
      </c>
      <c r="G68" s="5" t="inlineStr">
        <is>
          <t>The university should implement measures to identify and mitigate algorithmic bias, particularly in applications that impact individuals' lives such as hiring or lending decisions, and regularly audit algorithms for fairness. It should also conduct ethical impact assessments to evaluate how the AI system may affect different societal groups, assess potential risks and benefits, and take steps to minimize harm.</t>
        </is>
      </c>
      <c r="H68" s="5" t="inlineStr">
        <is>
          <t>Towards Ethical and Socially Responsible Explainable AI, p. 172</t>
        </is>
      </c>
      <c r="I68" s="5" t="inlineStr">
        <is>
          <t>Algorithmic Bias Mitigation: Implement measures to identify and mitigate algorithmic bias, particularly in applications that impact individuals' lives, such as hiring or lending decisions. Regularly audit algorithms for fairness. … Ethical Impact Assessment: Conduct ethical impact assessments to evaluate how AI systems may affect different societal groups. Assess potential risks and benefits and take steps to minimize harm.</t>
        </is>
      </c>
      <c r="J68" s="5" t="b">
        <v>1</v>
      </c>
      <c r="K68" s="5" t="inlineStr"/>
      <c r="L68" s="5" t="b">
        <v>0</v>
      </c>
      <c r="M68" s="5" t="inlineStr">
        <is>
          <t>application</t>
        </is>
      </c>
      <c r="N68" s="5" t="inlineStr">
        <is>
          <t>hard</t>
        </is>
      </c>
      <c r="O68" s="5" t="inlineStr">
        <is>
          <t>equity_accessibility</t>
        </is>
      </c>
      <c r="P68" s="5" t="n">
        <v>4</v>
      </c>
      <c r="Q68" s="5" t="b">
        <v>1</v>
      </c>
      <c r="R68" s="5" t="inlineStr">
        <is>
          <t>The answer restates the evidence's bias-mitigation, auditing and ethical-impact-assessment measures almost verbatim. Its only addition is framing these generic recommendations as what 'the university' should do, which the question supplies rather than the evidence. | The question describes a concrete scenario (a university AI system affecting admissions) and asks for best practices without referring to any unseen source or context.</t>
        </is>
      </c>
      <c r="S68" s="5" t="inlineStr">
        <is>
          <t>What accountability practices on algorithmic bias and societal impact apply to a university developing an AI system that affects individuals' lives, such as for admissions decisions?</t>
        </is>
      </c>
      <c r="T68" s="5" t="inlineStr">
        <is>
          <t>If a university deploys an AI system that affects people's lives, for example in admissions, which best practices concerning bias and effects on societal groups should it follow?</t>
        </is>
      </c>
      <c r="U68" s="5" t="inlineStr"/>
      <c r="V68" s="5" t="inlineStr"/>
      <c r="W68" s="5" t="inlineStr"/>
      <c r="X68" s="5" t="inlineStr">
        <is>
          <t>pilot</t>
        </is>
      </c>
      <c r="Y68" s="5" t="inlineStr">
        <is>
          <t>towards-ethical:0090:q2</t>
        </is>
      </c>
    </row>
    <row r="69">
      <c r="A69" s="5" t="n">
        <v>68</v>
      </c>
      <c r="B69" s="5" t="b">
        <v>0</v>
      </c>
      <c r="C69" s="6" t="n"/>
      <c r="D69" s="6" t="n"/>
      <c r="E69" s="5" t="n"/>
      <c r="F69" s="5" t="inlineStr">
        <is>
          <t>In best practices for accountability in AI, what do stakeholder engagement and AI ethics training each involve?</t>
        </is>
      </c>
      <c r="G69" s="5" t="inlineStr">
        <is>
          <t>Stakeholder engagement means engaging with diverse stakeholders, including users, affected communities, and experts in relevant fields, to gather input and ensure AI systems consider a broad range of perspectives. AI ethics training means providing training to developers, data scientists, and decision-makers involved in AI projects, fostering a culture of ethical awareness and responsibility within the organization.</t>
        </is>
      </c>
      <c r="H69" s="5" t="inlineStr">
        <is>
          <t>Towards Ethical and Socially Responsible Explainable AI, p. 172</t>
        </is>
      </c>
      <c r="I69" s="5" t="inlineStr">
        <is>
          <t>Stakeholder Engagement: Engage with diverse stakeholders, including users, affected communities, and experts in relevant fields, to gather input and ensure AI systems consider a broad range of perspectives. … AI Ethics Training: Provide AI ethics training to developers, data scientists, and decision-makers involved in AI projects. Foster a culture of ethical awareness and responsibility within the organization.</t>
        </is>
      </c>
      <c r="J69" s="5" t="b">
        <v>1</v>
      </c>
      <c r="K69" s="5" t="inlineStr"/>
      <c r="L69" s="5" t="b">
        <v>0</v>
      </c>
      <c r="M69" s="5" t="inlineStr">
        <is>
          <t>definition</t>
        </is>
      </c>
      <c r="N69" s="5" t="inlineStr">
        <is>
          <t>medium</t>
        </is>
      </c>
      <c r="O69" s="5" t="inlineStr">
        <is>
          <t>governance</t>
        </is>
      </c>
      <c r="P69" s="5" t="n">
        <v>4</v>
      </c>
      <c r="Q69" s="5" t="b">
        <v>1</v>
      </c>
      <c r="R69" s="5" t="inlineStr">
        <is>
          <t>Both definitions closely restate the evidence. The only liberty is presenting 'fostering a culture' as part of the training's purpose, which is trivial rewording. | The question names the topic (accountability best practices in AI) and both practices explicitly, with no references to unseen context.</t>
        </is>
      </c>
      <c r="S69" s="5" t="inlineStr">
        <is>
          <t>How are stakeholder engagement and AI ethics training each described as accountability practices for AI?</t>
        </is>
      </c>
      <c r="T69" s="5" t="inlineStr">
        <is>
          <t>What do the accountability best practices of stakeholder engagement and AI ethics training consist of?</t>
        </is>
      </c>
      <c r="U69" s="5" t="inlineStr"/>
      <c r="V69" s="5" t="inlineStr"/>
      <c r="W69" s="5" t="inlineStr"/>
      <c r="X69" s="5" t="inlineStr">
        <is>
          <t>pilot</t>
        </is>
      </c>
      <c r="Y69" s="5" t="inlineStr">
        <is>
          <t>towards-ethical:0090:q3</t>
        </is>
      </c>
    </row>
    <row r="70">
      <c r="A70" s="5" t="n">
        <v>69</v>
      </c>
      <c r="B70" s="5" t="b">
        <v>0</v>
      </c>
      <c r="C70" s="6" t="n"/>
      <c r="D70" s="6" t="n"/>
      <c r="E70" s="5" t="n"/>
      <c r="F70" s="5" t="inlineStr">
        <is>
          <t>A university plans to deploy an AI system in its student health services that handles patient information. Which accountability practices on regulation should it follow?</t>
        </is>
      </c>
      <c r="G70" s="5" t="inlineStr">
        <is>
          <t>The university should be aware of sector-specific regulations that may apply to AI applications; for instance, healthcare AI systems should comply with HIPAA regulations. It should also adhere to data privacy laws such as the GDPR or the CCPA, implementing robust data protection measures, obtaining necessary consents, and enabling users to exercise their privacy rights.</t>
        </is>
      </c>
      <c r="H70" s="5" t="inlineStr">
        <is>
          <t>Towards Ethical and Socially Responsible Explainable AI, pp. 171-172</t>
        </is>
      </c>
      <c r="I70" s="5" t="inlineStr">
        <is>
          <t>Sector-Specific Regulations: Be aware of sector-specific regulations that may apply to AI applications. For instance, healthcare AI systems should comply with Health Insurance Portability and Accountability Act (HIPAA) regulations. … Data Privacy Compliance: Adhere to data privacy laws such as the General Data Protection Regulation (GDPR) in the European Union or the California Consumer Privacy Act (CCPA) in the United States [31]. Implement robust data protection measures, obtain necessary consents, and enable users to exercise their privacy rights.</t>
        </is>
      </c>
      <c r="J70" s="5" t="b">
        <v>1</v>
      </c>
      <c r="K70" s="5" t="inlineStr"/>
      <c r="L70" s="5" t="b">
        <v>0</v>
      </c>
      <c r="M70" s="5" t="inlineStr">
        <is>
          <t>application</t>
        </is>
      </c>
      <c r="N70" s="5" t="inlineStr">
        <is>
          <t>hard</t>
        </is>
      </c>
      <c r="O70" s="5" t="inlineStr">
        <is>
          <t>privacy_security</t>
        </is>
      </c>
      <c r="P70" s="5" t="n">
        <v>4</v>
      </c>
      <c r="Q70" s="5" t="b">
        <v>1</v>
      </c>
      <c r="R70" s="5" t="inlineStr">
        <is>
          <t>The answer restates the evidence nearly verbatim. Applying the general best practices to a university student health service is a trivial contextual framing. Acronyms are left unexpanded, but they were expanded in the evidence. | The question describes a concrete scenario and does not refer to unseen context. The phrase 'accountability practices on regulation' is somewhat vague but still understandable.</t>
        </is>
      </c>
      <c r="S70" s="5" t="inlineStr">
        <is>
          <t>What regulatory accountability practices apply when a university deploys an AI system in student health services that handles patient information?</t>
        </is>
      </c>
      <c r="T70" s="5" t="inlineStr">
        <is>
          <t>A university's student health service is adopting an AI system using patient information; which best practices on laws and regulations should it observe?</t>
        </is>
      </c>
      <c r="U70" s="5" t="inlineStr"/>
      <c r="V70" s="5" t="inlineStr"/>
      <c r="W70" s="5" t="inlineStr"/>
      <c r="X70" s="5" t="inlineStr">
        <is>
          <t>pilot</t>
        </is>
      </c>
      <c r="Y70" s="5" t="inlineStr">
        <is>
          <t>towards-ethical:0090:q4</t>
        </is>
      </c>
    </row>
    <row r="71">
      <c r="A71" s="5" t="n">
        <v>70</v>
      </c>
      <c r="B71" s="5" t="b">
        <v>0</v>
      </c>
      <c r="C71" s="6" t="n"/>
      <c r="D71" s="6" t="n"/>
      <c r="E71" s="5" t="n"/>
      <c r="F71" s="5" t="inlineStr">
        <is>
          <t>A nursing school is planning to adopt generative AI. It wants to run short-term training for faculty and students, make sure the content supports responsible use, and bring AI into the curriculum without discarding existing teaching. What do scoping-review recommendations say it should do?</t>
        </is>
      </c>
      <c r="G71" s="5" t="inlineStr">
        <is>
          <t>Short-term training should build AI literacy and digital proficiency among faculty and students, with prompt engineering as an essential curriculum component. Content should develop critical thinking abilities alongside ethical guidelines to ensure responsible AI use. Studies recommend systematically integrating AI into nursing education while preserving traditional teaching methods, and note that such integration can strengthen student writing skills.</t>
        </is>
      </c>
      <c r="H71" s="5" t="inlineStr">
        <is>
          <t>Patterns, advances, and gaps in using ChatGPT and similar technologies in nursing education: A PAGER scoping review, p. 7</t>
        </is>
      </c>
      <c r="I71" s="5" t="inlineStr">
        <is>
          <t>Short-term training initiatives should focus on developing AI literacy and digital proficiency among faculty and students, incorporating prompt engineering as an essential curriculum component (O'Connor et al., 2024). … authors emphasise the need for content that develops critical thinking abilities alongside the establishment of ethical guidelines to ensure responsible AI use … studies recommend systematically integrating AI into nursing education while preserving traditional teaching methods, noting that such integration can strengthen student writing skills (Parker et al., 2023)</t>
        </is>
      </c>
      <c r="J71" s="5" t="b">
        <v>1</v>
      </c>
      <c r="K71" s="5" t="inlineStr"/>
      <c r="L71" s="5" t="b">
        <v>0</v>
      </c>
      <c r="M71" s="5" t="inlineStr">
        <is>
          <t>application</t>
        </is>
      </c>
      <c r="N71" s="5" t="inlineStr">
        <is>
          <t>hard</t>
        </is>
      </c>
      <c r="O71" s="5" t="inlineStr">
        <is>
          <t>teaching_learning</t>
        </is>
      </c>
      <c r="P71" s="5" t="n">
        <v>5</v>
      </c>
      <c r="Q71" s="5" t="b">
        <v>1</v>
      </c>
      <c r="R71" s="5" t="inlineStr">
        <is>
          <t>Every statement in the answer (AI literacy, digital proficiency, prompt engineering, critical thinking, ethical guidelines, integration preserving traditional methods, stronger writing skills) is stated directly in the evidence. | The question describes the scenario fully and refers generically to scoping-review recommendations, without relying on 'the text' or other unseen context.</t>
        </is>
      </c>
      <c r="S71" s="5" t="inlineStr">
        <is>
          <t>A nursing school intends to adopt generative AI and wants short-term training for faculty and students, content that supports responsible use, and curriculum integration that keeps existing teaching in place. What do scoping-review recommendations say it should do?</t>
        </is>
      </c>
      <c r="T71" s="5" t="inlineStr">
        <is>
          <t>When a nursing school plans to bring in generative AI by offering short-term faculty and student training, ensuring the content promotes responsible use, and integrating AI into the curriculum without abandoning current teaching, what do scoping-review recommendations advise?</t>
        </is>
      </c>
      <c r="U71" s="5" t="inlineStr"/>
      <c r="V71" s="5" t="inlineStr"/>
      <c r="W71" s="5" t="inlineStr"/>
      <c r="X71" s="5" t="inlineStr">
        <is>
          <t>pilot</t>
        </is>
      </c>
      <c r="Y71" s="5" t="inlineStr">
        <is>
          <t>patterns-advances-and-gaps-in-using-chatgpt-and:0013:q0</t>
        </is>
      </c>
    </row>
    <row r="72">
      <c r="A72" s="5" t="n">
        <v>71</v>
      </c>
      <c r="B72" s="5" t="b">
        <v>0</v>
      </c>
      <c r="C72" s="6" t="n"/>
      <c r="D72" s="6" t="n"/>
      <c r="E72" s="5" t="n"/>
      <c r="F72" s="5" t="inlineStr">
        <is>
          <t>Which skill does a PAGER scoping review of GenAI in nursing education recommend as an essential curriculum component in short-term training initiatives?</t>
        </is>
      </c>
      <c r="G72" s="5" t="inlineStr">
        <is>
          <t>Prompt engineering. Short-term training initiatives should focus on developing AI literacy and digital proficiency among faculty and students, incorporating prompt engineering as an essential curriculum component.</t>
        </is>
      </c>
      <c r="H72" s="5" t="inlineStr">
        <is>
          <t>Patterns, advances, and gaps in using ChatGPT and similar technologies in nursing education: A PAGER scoping review, p. 7</t>
        </is>
      </c>
      <c r="I72" s="5" t="inlineStr">
        <is>
          <t>Short-term training initiatives should focus on developing AI literacy and digital proficiency among faculty and students, incorporating prompt engineering as an essential curriculum component (O'Connor et al., 2024).</t>
        </is>
      </c>
      <c r="J72" s="5" t="b">
        <v>1</v>
      </c>
      <c r="K72" s="5" t="inlineStr"/>
      <c r="L72" s="5" t="b">
        <v>0</v>
      </c>
      <c r="M72" s="5" t="inlineStr">
        <is>
          <t>factual</t>
        </is>
      </c>
      <c r="N72" s="5" t="inlineStr">
        <is>
          <t>easy</t>
        </is>
      </c>
      <c r="O72" s="5" t="inlineStr">
        <is>
          <t>student_ai_literacy</t>
        </is>
      </c>
      <c r="P72" s="5" t="n">
        <v>5</v>
      </c>
      <c r="Q72" s="5" t="b">
        <v>1</v>
      </c>
      <c r="R72" s="5" t="inlineStr">
        <is>
          <t>The answer restates the evidence almost verbatim. Prompt engineering is named directly as the essential curriculum component. | The question identifies the source by its content: a PAGER scoping review of GenAI in nursing education. It does not rely on unseen context.</t>
        </is>
      </c>
      <c r="S72" s="5" t="inlineStr">
        <is>
          <t>What essential curriculum component do short-term nursing AI training initiatives recommended in a PAGER scoping review incorporate?</t>
        </is>
      </c>
      <c r="T72" s="5" t="inlineStr">
        <is>
          <t>According to a PAGER scoping review on generative AI in nursing education, what skill should be included as an essential curriculum component of short-term training initiatives?</t>
        </is>
      </c>
      <c r="U72" s="5" t="inlineStr"/>
      <c r="V72" s="5" t="inlineStr"/>
      <c r="W72" s="5" t="inlineStr"/>
      <c r="X72" s="5" t="inlineStr">
        <is>
          <t>pilot</t>
        </is>
      </c>
      <c r="Y72" s="5" t="inlineStr">
        <is>
          <t>patterns-advances-and-gaps-in-using-chatgpt-and:0013:q1</t>
        </is>
      </c>
    </row>
    <row r="73">
      <c r="A73" s="5" t="n">
        <v>72</v>
      </c>
      <c r="B73" s="5" t="b">
        <v>0</v>
      </c>
      <c r="C73" s="6" t="n"/>
      <c r="D73" s="6" t="n"/>
      <c r="E73" s="5" t="n"/>
      <c r="F73" s="5" t="inlineStr">
        <is>
          <t>What do technical recommendations for GenAI in nursing education focus on improving?</t>
        </is>
      </c>
      <c r="G73" s="5" t="inlineStr">
        <is>
          <t>Technical recommendations focus on improving GenAI's accuracy and reducing bias. They suggest refining models to better reflect nursing standards and classification systems.</t>
        </is>
      </c>
      <c r="H73" s="5" t="inlineStr">
        <is>
          <t>Patterns, advances, and gaps in using ChatGPT and similar technologies in nursing education: A PAGER scoping review, p. 7</t>
        </is>
      </c>
      <c r="I73" s="5" t="inlineStr">
        <is>
          <t>Technical recommendations focus on improving GenAI's accuracy and reducing bias by refining models to reflect nursing standards and classification systems better (Gosak et al., 2024; Ye, 2024).</t>
        </is>
      </c>
      <c r="J73" s="5" t="b">
        <v>1</v>
      </c>
      <c r="K73" s="5" t="inlineStr"/>
      <c r="L73" s="5" t="b">
        <v>0</v>
      </c>
      <c r="M73" s="5" t="inlineStr">
        <is>
          <t>factual</t>
        </is>
      </c>
      <c r="N73" s="5" t="inlineStr">
        <is>
          <t>easy</t>
        </is>
      </c>
      <c r="O73" s="5" t="inlineStr">
        <is>
          <t>procurement_technology</t>
        </is>
      </c>
      <c r="P73" s="5" t="n">
        <v>5</v>
      </c>
      <c r="Q73" s="5" t="b">
        <v>1</v>
      </c>
      <c r="R73" s="5" t="inlineStr">
        <is>
          <t>The answer only lightly rewords the evidence: improving accuracy, reducing bias, and refining models to better reflect nursing standards and classification systems. Every statement is directly supported. | The question names its topic, GenAI in nursing education. It refers to no unseen context and uses no undefined acronyms, since GenAI is widely understood.</t>
        </is>
      </c>
      <c r="S73" s="5" t="inlineStr">
        <is>
          <t>Which aspects of GenAI do technical recommendations for nursing education aim to improve?</t>
        </is>
      </c>
      <c r="T73" s="5" t="inlineStr">
        <is>
          <t>What are technical recommendations for GenAI in nursing education centered on?</t>
        </is>
      </c>
      <c r="U73" s="5" t="inlineStr"/>
      <c r="V73" s="5" t="inlineStr"/>
      <c r="W73" s="5" t="inlineStr"/>
      <c r="X73" s="5" t="inlineStr">
        <is>
          <t>pilot</t>
        </is>
      </c>
      <c r="Y73" s="5" t="inlineStr">
        <is>
          <t>patterns-advances-and-gaps-in-using-chatgpt-and:0013:q2</t>
        </is>
      </c>
    </row>
    <row r="74">
      <c r="A74" s="5" t="n">
        <v>73</v>
      </c>
      <c r="B74" s="5" t="b">
        <v>0</v>
      </c>
      <c r="C74" s="6" t="n"/>
      <c r="D74" s="6" t="n"/>
      <c r="E74" s="5" t="n"/>
      <c r="F74" s="5" t="inlineStr">
        <is>
          <t>What do institutional recommendations for GenAI in nursing education consist of with regard to equity and access?</t>
        </is>
      </c>
      <c r="G74" s="5" t="inlineStr">
        <is>
          <t>Institutional recommendations include developing policies and inclusive tools to ensure equity, access, and support for diverse user needs. This is meant to reduce language barriers and improve geographic access to resources.</t>
        </is>
      </c>
      <c r="H74" s="5" t="inlineStr">
        <is>
          <t>Patterns, advances, and gaps in using ChatGPT and similar technologies in nursing education: A PAGER scoping review, p. 7</t>
        </is>
      </c>
      <c r="I74" s="5" t="inlineStr">
        <is>
          <t>institutional recommendations include developing policies and inclusive tools to ensure equity, access, and support for diverse user needs (Abujaber et al., 2023), thereby reducing language barriers and improving geographic access to resources</t>
        </is>
      </c>
      <c r="J74" s="5" t="b">
        <v>1</v>
      </c>
      <c r="K74" s="5" t="inlineStr"/>
      <c r="L74" s="5" t="b">
        <v>0</v>
      </c>
      <c r="M74" s="5" t="inlineStr">
        <is>
          <t>definition</t>
        </is>
      </c>
      <c r="N74" s="5" t="inlineStr">
        <is>
          <t>medium</t>
        </is>
      </c>
      <c r="O74" s="5" t="inlineStr">
        <is>
          <t>equity_accessibility</t>
        </is>
      </c>
      <c r="P74" s="5" t="n">
        <v>5</v>
      </c>
      <c r="Q74" s="5" t="b">
        <v>1</v>
      </c>
      <c r="R74" s="5" t="inlineStr">
        <is>
          <t>The answer directly restates the evidence: policies and inclusive tools for equity, access and support for diverse user needs, which reduce language barriers and improve geographic access. | The question names its topic, GenAI in nursing education, and its focus, equity and access. It uses no references to unseen context, and GenAI is a widely understood term.</t>
        </is>
      </c>
      <c r="S74" s="5" t="inlineStr">
        <is>
          <t>What institutional actions on equity and access are recommended for GenAI in nursing education?</t>
        </is>
      </c>
      <c r="T74" s="5" t="inlineStr">
        <is>
          <t>With respect to equity and access, what elements make up the institutional recommendations for using GenAI in nursing education?</t>
        </is>
      </c>
      <c r="U74" s="5" t="inlineStr"/>
      <c r="V74" s="5" t="inlineStr"/>
      <c r="W74" s="5" t="inlineStr"/>
      <c r="X74" s="5" t="inlineStr">
        <is>
          <t>pilot</t>
        </is>
      </c>
      <c r="Y74" s="5" t="inlineStr">
        <is>
          <t>patterns-advances-and-gaps-in-using-chatgpt-and:0013:q4</t>
        </is>
      </c>
    </row>
    <row r="75">
      <c r="A75" s="5" t="n">
        <v>74</v>
      </c>
      <c r="B75" s="5" t="b">
        <v>0</v>
      </c>
      <c r="C75" s="6" t="n"/>
      <c r="D75" s="6" t="n"/>
      <c r="E75" s="5" t="n"/>
      <c r="F75" s="5" t="inlineStr">
        <is>
          <t>A nursing school wants to adopt GenAI for assessment generation and clinical simulation. What does a PAGER scoping review of ChatGPT in nursing education recommend about how to implement it?</t>
        </is>
      </c>
      <c r="G75" s="5" t="inlineStr">
        <is>
          <t>Implementation should follow evidence-based approaches in assessment generation and clinical simulation development. It should align with established pedagogical frameworks so that it enhances rather than replaces effective teaching practices. The review also calls for a comprehensive system balancing innovation with academic integrity in nursing assessment and clinical training.</t>
        </is>
      </c>
      <c r="H75" s="5" t="inlineStr">
        <is>
          <t>Patterns, advances, and gaps in using ChatGPT and similar technologies in nursing education: A PAGER scoping review, p. 8</t>
        </is>
      </c>
      <c r="I75" s="5" t="inlineStr">
        <is>
          <t>Implementation should follow evidence-based approaches in assessment generation and clinical simulation development, aligning with established pedagogical frameworks to enhance rather than replace effective teaching practices. … The findings indicate the necessity of establishing a comprehensive system that balances innovation with academic integrity in nursing assessment and clinical training. These frameworks should establish clear data privacy and security standards guidelines and ensure compliance with educational regulations (Foronda and Porter, 2024).</t>
        </is>
      </c>
      <c r="J75" s="5" t="b">
        <v>1</v>
      </c>
      <c r="K75" s="5" t="inlineStr"/>
      <c r="L75" s="5" t="b">
        <v>0</v>
      </c>
      <c r="M75" s="5" t="inlineStr">
        <is>
          <t>application</t>
        </is>
      </c>
      <c r="N75" s="5" t="inlineStr">
        <is>
          <t>hard</t>
        </is>
      </c>
      <c r="O75" s="5" t="inlineStr">
        <is>
          <t>teaching_learning</t>
        </is>
      </c>
      <c r="P75" s="5" t="n">
        <v>4</v>
      </c>
      <c r="Q75" s="5" t="b">
        <v>1</v>
      </c>
      <c r="R75" s="5" t="inlineStr">
        <is>
          <t>Every claim restates the evidence: evidence-based approaches, alignment with pedagogical frameworks, enhancing rather than replacing teaching, and a comprehensive system balancing innovation with academic integrity. The only change is light rewording, such as 'calls for' in place of 'findings indicate the necessity'. | The question identifies the source by its content (a PAGER scoping review of ChatGPT in nursing education) and gives a clear scenario. PAGER is a named review framework, and GenAI is a widely understood term.</t>
        </is>
      </c>
      <c r="S75" s="5" t="inlineStr">
        <is>
          <t>If a nursing program plans to use GenAI to create assessments and clinical simulations, what implementation approach does a scoping review of ChatGPT in nursing education recommend?</t>
        </is>
      </c>
      <c r="T75" s="5" t="inlineStr">
        <is>
          <t>A nursing school is considering GenAI for generating assessments and running clinical simulations. What implementation guidance does a PAGER scoping review of ChatGPT in nursing education give?</t>
        </is>
      </c>
      <c r="U75" s="5" t="inlineStr"/>
      <c r="V75" s="5" t="inlineStr"/>
      <c r="W75" s="5" t="inlineStr"/>
      <c r="X75" s="5" t="inlineStr">
        <is>
          <t>pilot</t>
        </is>
      </c>
      <c r="Y75" s="5" t="inlineStr">
        <is>
          <t>patterns-advances-and-gaps-in-using-chatgpt-and:0016:q1</t>
        </is>
      </c>
    </row>
    <row r="76">
      <c r="A76" s="5" t="n">
        <v>75</v>
      </c>
      <c r="B76" s="5" t="b">
        <v>0</v>
      </c>
      <c r="C76" s="6" t="n"/>
      <c r="D76" s="6" t="n"/>
      <c r="E76" s="5" t="n"/>
      <c r="F76" s="5" t="inlineStr">
        <is>
          <t>A university with students in low-resource settings wants to roll out GenAI in its nursing program. What does a PAGER scoping review of ChatGPT in nursing education recommend to address disparities in access?</t>
        </is>
      </c>
      <c r="G76" s="5" t="inlineStr">
        <is>
          <t>Incentive structures should promote equitable access to GenAI technologies across diverse settings, with particular attention to underserved populations and low-resource settings. Targeted strategies are needed for bridging digital divides and maximising global applicability.</t>
        </is>
      </c>
      <c r="H76" s="5" t="inlineStr">
        <is>
          <t>Patterns, advances, and gaps in using ChatGPT and similar technologies in nursing education: A PAGER scoping review, p. 8</t>
        </is>
      </c>
      <c r="I76" s="5" t="inlineStr">
        <is>
          <t>To address identified disparities, incentive structures should promote equitable access to GenAI technologies across diverse settings, with particular attention to underserved populations and low-resource settings. Targeted strategies are needed for bridging digital divides and maximising global applicability.</t>
        </is>
      </c>
      <c r="J76" s="5" t="b">
        <v>1</v>
      </c>
      <c r="K76" s="5" t="inlineStr"/>
      <c r="L76" s="5" t="b">
        <v>0</v>
      </c>
      <c r="M76" s="5" t="inlineStr">
        <is>
          <t>application</t>
        </is>
      </c>
      <c r="N76" s="5" t="inlineStr">
        <is>
          <t>hard</t>
        </is>
      </c>
      <c r="O76" s="5" t="inlineStr">
        <is>
          <t>equity_accessibility</t>
        </is>
      </c>
      <c r="P76" s="5" t="n">
        <v>5</v>
      </c>
      <c r="Q76" s="5" t="b">
        <v>1</v>
      </c>
      <c r="R76" s="5" t="inlineStr">
        <is>
          <t>The answer restates the evidence almost word for word, and adds no unsupported claims. | The question names the specific source by its content (a PAGER scoping review of ChatGPT in nursing education) and states its own scenario. It does not rely on unseen context such as 'the text' or 'the authors'.</t>
        </is>
      </c>
      <c r="S76" s="5" t="inlineStr">
        <is>
          <t>For a nursing school whose students have limited resources, what does a PAGER scoping review recommend to address access disparities with GenAI?</t>
        </is>
      </c>
      <c r="T76" s="5" t="inlineStr">
        <is>
          <t>A university plans to introduce GenAI into a nursing program where students have limited resources. Which measures does a PAGER scoping review of ChatGPT in nursing education recommend for tackling unequal access?</t>
        </is>
      </c>
      <c r="U76" s="5" t="inlineStr"/>
      <c r="V76" s="5" t="inlineStr"/>
      <c r="W76" s="5" t="inlineStr"/>
      <c r="X76" s="5" t="inlineStr">
        <is>
          <t>pilot</t>
        </is>
      </c>
      <c r="Y76" s="5" t="inlineStr">
        <is>
          <t>patterns-advances-and-gaps-in-using-chatgpt-and:0016:q2</t>
        </is>
      </c>
    </row>
    <row r="77">
      <c r="A77" s="5" t="n">
        <v>76</v>
      </c>
      <c r="B77" s="5" t="b">
        <v>0</v>
      </c>
      <c r="C77" s="6" t="n"/>
      <c r="D77" s="6" t="n"/>
      <c r="E77" s="5" t="n"/>
      <c r="F77" s="5" t="inlineStr">
        <is>
          <t>A nursing education researcher is planning studies on generative AI (GenAI) use in nursing programs. Based on a scoping review of ChatGPT in nursing education, which outcomes and issues should the research examine?</t>
        </is>
      </c>
      <c r="G77" s="5" t="inlineStr">
        <is>
          <t>Research should focus on how GenAI influences clinical reasoning, professional judgment, and academic integrity over time. It should critically examine GenAI's alignment with pedagogical frameworks, particularly impacts on critical thinking and reflective learning. Longitudinal studies are also needed to evaluate the impact of GenAI use on student outcomes and ethical decision-making.</t>
        </is>
      </c>
      <c r="H77" s="5" t="inlineStr">
        <is>
          <t>Patterns, advances, and gaps in using ChatGPT and similar technologies in nursing education: A PAGER scoping review, p. 8</t>
        </is>
      </c>
      <c r="I77" s="5" t="inlineStr">
        <is>
          <t>Longitudinal studies are needed to evaluate the impact of GenAI use on student outcomes and ethical decision-making. Comparative effectiveness research between AI-enhanced and conventional teaching methods should be given priority. … Research should focus on how GenAI influence clinical reasoning, professional judgment, and academic integrity over time. Critical examination is required to ensure GenAI alignment with pedagogical frameworks, particularly investigating impacts on critical thinking and reflective learning.</t>
        </is>
      </c>
      <c r="J77" s="5" t="b">
        <v>1</v>
      </c>
      <c r="K77" s="5" t="inlineStr"/>
      <c r="L77" s="5" t="b">
        <v>1</v>
      </c>
      <c r="M77" s="5" t="inlineStr">
        <is>
          <t>application</t>
        </is>
      </c>
      <c r="N77" s="5" t="inlineStr">
        <is>
          <t>hard</t>
        </is>
      </c>
      <c r="O77" s="5" t="inlineStr">
        <is>
          <t>teaching_learning</t>
        </is>
      </c>
      <c r="P77" s="5" t="n">
        <v>5</v>
      </c>
      <c r="Q77" s="5" t="b">
        <v>1</v>
      </c>
      <c r="R77" s="5" t="inlineStr">
        <is>
          <t>Every statement in the answer restates the evidence nearly verbatim: clinical reasoning, judgment and integrity; pedagogical alignment; and longitudinal studies. It omits comparative effectiveness research but adds nothing unsupported. | The question identifies its source by content (a scoping review of ChatGPT in nursing education) and defines GenAI, so it is understandable without seeing the source.</t>
        </is>
      </c>
      <c r="S77" s="5" t="inlineStr">
        <is>
          <t>What topics should a researcher studying generative AI (GenAI) in nursing education focus on, based on a scoping review of ChatGPT in nursing education?</t>
        </is>
      </c>
      <c r="T77" s="5" t="inlineStr">
        <is>
          <t>If a nursing faculty member designs research on generative AI (GenAI) in nursing programs, what outcomes and issues does a scoping review of ChatGPT in nursing education say should be investigated?</t>
        </is>
      </c>
      <c r="U77" s="5" t="inlineStr">
        <is>
          <t>A nursing education researcher is planning studies on GenAI in nursing programs. According to a PAGER scoping review, which outcomes and issues should the research examine?</t>
        </is>
      </c>
      <c r="V77" s="5" t="inlineStr">
        <is>
          <t>Research should focus on how GenAI influences clinical reasoning, professional judgment, and academic integrity over time. It should critically examine GenAI's alignment with pedagogical frameworks, particularly impacts on critical thinking and reflective learning. Longitudinal studies are also needed on student outcomes and ethical decision-making.</t>
        </is>
      </c>
      <c r="W77" s="5" t="inlineStr">
        <is>
          <t>not_standalone(judge). Every statement in the answer is directly supported by the evidence, with only trivial rewording such as 'influences' for 'influence'. It omits the comparative effectiveness research point, but that omission adds no unsupported content. The question relies on the undefined acronym 'PAGER'. It also refers vaguely to 'a PAGER scoping review' without saying which review, so a reader who has not seen the source cannot pin down the reference.</t>
        </is>
      </c>
      <c r="X77" s="5" t="inlineStr">
        <is>
          <t>pilot</t>
        </is>
      </c>
      <c r="Y77" s="5" t="inlineStr">
        <is>
          <t>patterns-advances-and-gaps-in-using-chatgpt-and:0016:q4</t>
        </is>
      </c>
    </row>
    <row r="78">
      <c r="A78" s="5" t="n">
        <v>77</v>
      </c>
      <c r="B78" s="5" t="b">
        <v>0</v>
      </c>
      <c r="C78" s="6" t="n"/>
      <c r="D78" s="6" t="n"/>
      <c r="E78" s="5" t="n"/>
      <c r="F78" s="5" t="inlineStr">
        <is>
          <t>In a systematic review of generative AI in entrepreneurship education, what conceptual framework is proposed, and which levels and theories does it combine?</t>
        </is>
      </c>
      <c r="G78" s="5" t="inlineStr">
        <is>
          <t>The review proposes a conceptual framework that integrates micro-level instructional applications with meso-level competency development and macro-level ecosystem readiness. It is grounded in educational theories including constructivism, experiential learning, and social cognitive theory.</t>
        </is>
      </c>
      <c r="H78" s="5" t="inlineStr">
        <is>
          <t>Toward understanding the role of generative AI in entrepreneurship education: A systematic review, p. 1</t>
        </is>
      </c>
      <c r="I78" s="5" t="inlineStr">
        <is>
          <t>this study proposes a set of research propositions and a conceptual framework that integrates micro-level instructional applications with meso-level competency development and macro-level ecosystem readiness. These are grounded in educational theories, including constructivism, experiential learning, and social cognitive theory.</t>
        </is>
      </c>
      <c r="J78" s="5" t="b">
        <v>1</v>
      </c>
      <c r="K78" s="5" t="inlineStr"/>
      <c r="L78" s="5" t="b">
        <v>0</v>
      </c>
      <c r="M78" s="5" t="inlineStr">
        <is>
          <t>definition</t>
        </is>
      </c>
      <c r="N78" s="5" t="inlineStr">
        <is>
          <t>medium</t>
        </is>
      </c>
      <c r="O78" s="5" t="inlineStr">
        <is>
          <t>general</t>
        </is>
      </c>
      <c r="P78" s="5" t="n">
        <v>5</v>
      </c>
      <c r="Q78" s="5" t="b">
        <v>1</v>
      </c>
      <c r="R78" s="5" t="inlineStr">
        <is>
          <t>Every statement in the answer is directly stated in the evidence: the three-level integration and the three grounding theories. | The question identifies the study by its content (a systematic review of generative AI in entrepreneurship education) and uses no undefined references or acronyms.</t>
        </is>
      </c>
      <c r="S78" s="5" t="inlineStr">
        <is>
          <t>Which levels does the conceptual framework from a systematic review of generative AI in entrepreneurship education integrate, and what theories ground it?</t>
        </is>
      </c>
      <c r="T78" s="5" t="inlineStr">
        <is>
          <t>A systematic review of generative AI in entrepreneurship education puts forward which conceptual framework, and what levels and theories are integrated within it?</t>
        </is>
      </c>
      <c r="U78" s="5" t="inlineStr"/>
      <c r="V78" s="5" t="inlineStr"/>
      <c r="W78" s="5" t="inlineStr"/>
      <c r="X78" s="5" t="inlineStr">
        <is>
          <t>pilot</t>
        </is>
      </c>
      <c r="Y78" s="5" t="inlineStr">
        <is>
          <t>toward-understanding-the-role-of-generative-ai:0000:q0</t>
        </is>
      </c>
    </row>
    <row r="79">
      <c r="A79" s="5" t="n">
        <v>78</v>
      </c>
      <c r="B79" s="5" t="b">
        <v>0</v>
      </c>
      <c r="C79" s="6" t="n"/>
      <c r="D79" s="6" t="n"/>
      <c r="E79" s="5" t="n"/>
      <c r="F79" s="5" t="inlineStr">
        <is>
          <t>Why is the long-term impact of generative AI on entrepreneurial competence, mindset, and outcomes described as uncertain in a systematic review of entrepreneurship education?</t>
        </is>
      </c>
      <c r="G79" s="5" t="inlineStr">
        <is>
          <t>Although promising use cases are identified, most studies are either conceptual or limited to small-scale exploratory evidence. As a result, the long-term impact of generative AI on entrepreneurial competence, mindset, and outcomes remains uncertain and calls for empirical caution.</t>
        </is>
      </c>
      <c r="H79" s="5" t="inlineStr">
        <is>
          <t>Toward understanding the role of generative AI in entrepreneurship education: A systematic review, p. 1</t>
        </is>
      </c>
      <c r="I79" s="5" t="inlineStr">
        <is>
          <t>Although promising use cases are identified, most studies are either conceptual or limited to small-scale exploratory evidence. As such, the longterm impact of GAI on entrepreneurial competence, mindset, and outcomes remains uncertain and calls for empirical caution.</t>
        </is>
      </c>
      <c r="J79" s="5" t="b">
        <v>1</v>
      </c>
      <c r="K79" s="5" t="inlineStr"/>
      <c r="L79" s="5" t="b">
        <v>0</v>
      </c>
      <c r="M79" s="5" t="inlineStr">
        <is>
          <t>explanation</t>
        </is>
      </c>
      <c r="N79" s="5" t="inlineStr">
        <is>
          <t>medium</t>
        </is>
      </c>
      <c r="O79" s="5" t="inlineStr">
        <is>
          <t>monitoring_improvement</t>
        </is>
      </c>
      <c r="P79" s="5" t="n">
        <v>5</v>
      </c>
      <c r="Q79" s="5" t="b">
        <v>1</v>
      </c>
      <c r="R79" s="5" t="inlineStr">
        <is>
          <t>The answer restates the evidence almost verbatim; it only expands 'GAI' to 'generative AI' and changes 'As such' to 'As a result'. | The question identifies the source by its content (a systematic review of entrepreneurship education) and spells out every term, so it is clear without the source.</t>
        </is>
      </c>
      <c r="S79" s="5" t="inlineStr">
        <is>
          <t>According to a systematic review of generative AI in entrepreneurship education, why does the long-term effect on entrepreneurial competence, mindset, and outcomes remain unclear?</t>
        </is>
      </c>
      <c r="T79" s="5" t="inlineStr">
        <is>
          <t>In a systematic review of entrepreneurship education, what explains why the lasting effects of generative AI on entrepreneurial competence, mindset, and outcomes remain unclear?</t>
        </is>
      </c>
      <c r="U79" s="5" t="inlineStr"/>
      <c r="V79" s="5" t="inlineStr"/>
      <c r="W79" s="5" t="inlineStr"/>
      <c r="X79" s="5" t="inlineStr">
        <is>
          <t>pilot</t>
        </is>
      </c>
      <c r="Y79" s="5" t="inlineStr">
        <is>
          <t>toward-understanding-the-role-of-generative-ai:0000:q1</t>
        </is>
      </c>
    </row>
    <row r="80">
      <c r="A80" s="5" t="n">
        <v>79</v>
      </c>
      <c r="B80" s="5" t="b">
        <v>0</v>
      </c>
      <c r="C80" s="6" t="n"/>
      <c r="D80" s="6" t="n"/>
      <c r="E80" s="5" t="n"/>
      <c r="F80" s="5" t="inlineStr">
        <is>
          <t>What four major domains of generative AI-enabled entrepreneurship education did a systematic review identify?</t>
        </is>
      </c>
      <c r="G80" s="5" t="inlineStr">
        <is>
          <t>The four major domains are personalized and adaptive instruction, simulation-based entrepreneurial training, ethical and psychological concerns, and ecosystem integration through intelligent systems.</t>
        </is>
      </c>
      <c r="H80" s="5" t="inlineStr">
        <is>
          <t>Toward understanding the role of generative AI in entrepreneurship education: A systematic review, p. 1</t>
        </is>
      </c>
      <c r="I80" s="5" t="inlineStr">
        <is>
          <t>The findings reveal four major domains in GAIenabled EE: personalized and adaptive instruction, simulation-based entrepreneurial training, ethical and psychological concerns, and ecosystem integration through intelligent systems.</t>
        </is>
      </c>
      <c r="J80" s="5" t="b">
        <v>1</v>
      </c>
      <c r="K80" s="5" t="inlineStr"/>
      <c r="L80" s="5" t="b">
        <v>0</v>
      </c>
      <c r="M80" s="5" t="inlineStr">
        <is>
          <t>factual</t>
        </is>
      </c>
      <c r="N80" s="5" t="inlineStr">
        <is>
          <t>easy</t>
        </is>
      </c>
      <c r="O80" s="5" t="inlineStr">
        <is>
          <t>teaching_learning</t>
        </is>
      </c>
      <c r="P80" s="5" t="n">
        <v>5</v>
      </c>
      <c r="Q80" s="5" t="b">
        <v>1</v>
      </c>
      <c r="R80" s="5" t="inlineStr">
        <is>
          <t>The answer lists exactly the four domains that the evidence states, with no additions or changes. | The question identifies the topic, a systematic review of generative AI-enabled entrepreneurship education, by its content. It contains no undefined references or acronyms.</t>
        </is>
      </c>
      <c r="S80" s="5" t="inlineStr">
        <is>
          <t>Which four domains did a systematic review find in generative AI-enabled entrepreneurship education?</t>
        </is>
      </c>
      <c r="T80" s="5" t="inlineStr">
        <is>
          <t>A systematic review of generative AI in entrepreneurship education grouped the findings into which four major domains?</t>
        </is>
      </c>
      <c r="U80" s="5" t="inlineStr"/>
      <c r="V80" s="5" t="inlineStr"/>
      <c r="W80" s="5" t="inlineStr"/>
      <c r="X80" s="5" t="inlineStr">
        <is>
          <t>pilot</t>
        </is>
      </c>
      <c r="Y80" s="5" t="inlineStr">
        <is>
          <t>toward-understanding-the-role-of-generative-ai:0000:q2</t>
        </is>
      </c>
    </row>
    <row r="81">
      <c r="A81" s="5" t="n">
        <v>80</v>
      </c>
      <c r="B81" s="5" t="b">
        <v>0</v>
      </c>
      <c r="C81" s="6" t="n"/>
      <c r="D81" s="6" t="n"/>
      <c r="E81" s="5" t="n"/>
      <c r="F81" s="5" t="inlineStr">
        <is>
          <t>A university is designing an entrepreneurship curriculum that integrates generative AI, and its leaders want guidance from a systematic review on both the learning outcomes to target and the priorities to emphasize. What should they focus on?</t>
        </is>
      </c>
      <c r="G81" s="5" t="inlineStr">
        <is>
          <t>The review advocates designing generative AI-integrated curricula that foster not only technical proficiency but also critical thinking, creativity, and ethical reasoning. It also emphasizes the importance of ethical guidance, digital equity, and cross-contextual adaptability for educators, policymakers, and researchers.</t>
        </is>
      </c>
      <c r="H81" s="5" t="inlineStr">
        <is>
          <t>Toward understanding the role of generative AI in entrepreneurship education: A systematic review, p. 1</t>
        </is>
      </c>
      <c r="I81" s="5" t="inlineStr">
        <is>
          <t>It advocates for designing GAI-integrated curricula that foster not only technical proficiency but also critical thinking, creativity, and ethical reasoning. … the study discusses actionable implications for educators, policymakers, and researchers, emphasizing the importance of ethical guidance, digital equity, and cross-contextual adaptability.</t>
        </is>
      </c>
      <c r="J81" s="5" t="b">
        <v>1</v>
      </c>
      <c r="K81" s="5" t="inlineStr"/>
      <c r="L81" s="5" t="b">
        <v>0</v>
      </c>
      <c r="M81" s="5" t="inlineStr">
        <is>
          <t>application</t>
        </is>
      </c>
      <c r="N81" s="5" t="inlineStr">
        <is>
          <t>hard</t>
        </is>
      </c>
      <c r="O81" s="5" t="inlineStr">
        <is>
          <t>teaching_learning</t>
        </is>
      </c>
      <c r="P81" s="5" t="n">
        <v>5</v>
      </c>
      <c r="Q81" s="5" t="b">
        <v>1</v>
      </c>
      <c r="R81" s="5" t="inlineStr">
        <is>
          <t>The answer restates the evidence directly, covering both the curriculum outcomes and the emphasized priorities, with no added claims. | The question describes the scenario and refers to 'a systematic review' generically. It does not rely on unseen context, so it is understandable without the source.</t>
        </is>
      </c>
      <c r="S81" s="5" t="inlineStr">
        <is>
          <t>What should a university emphasize, in terms of curriculum outcomes and broader priorities, when integrating generative AI into an entrepreneurship curriculum, based on a systematic review?</t>
        </is>
      </c>
      <c r="T81" s="5" t="inlineStr">
        <is>
          <t>A university plans a generative AI-integrated entrepreneurship curriculum. According to a systematic review, which outcomes should the curriculum build and which priorities should educators and policymakers stress?</t>
        </is>
      </c>
      <c r="U81" s="5" t="inlineStr"/>
      <c r="V81" s="5" t="inlineStr"/>
      <c r="W81" s="5" t="inlineStr"/>
      <c r="X81" s="5" t="inlineStr">
        <is>
          <t>pilot</t>
        </is>
      </c>
      <c r="Y81" s="5" t="inlineStr">
        <is>
          <t>toward-understanding-the-role-of-generative-ai:0000:q3</t>
        </is>
      </c>
    </row>
    <row r="82">
      <c r="A82" s="5" t="n">
        <v>81</v>
      </c>
      <c r="B82" s="5" t="b">
        <v>0</v>
      </c>
      <c r="C82" s="6" t="n"/>
      <c r="D82" s="6" t="n"/>
      <c r="E82" s="5" t="n"/>
      <c r="F82" s="5" t="inlineStr">
        <is>
          <t>Which methodological strategies does a systematic review of generative AI in entrepreneurship education suggest for testing its influence across cultural and institutional contexts?</t>
        </is>
      </c>
      <c r="G82" s="5" t="inlineStr">
        <is>
          <t>The review suggests structural equation modeling (SEM), hierarchical linear modeling (HLM), and longitudinal mixed-methods designs to rigorously test generative AI's influence across cultural and institutional contexts.</t>
        </is>
      </c>
      <c r="H82" s="5" t="inlineStr">
        <is>
          <t>Toward understanding the role of generative AI in entrepreneurship education: A systematic review, p. 1</t>
        </is>
      </c>
      <c r="I82" s="5" t="inlineStr">
        <is>
          <t>the review suggests methodological strategies, such as structural equation modeling (SEM), hierarchical linear modeling (HLM), and longitudinal mixed-methods designs, to test GAI's influence across cultural and institutional contexts rigorously.</t>
        </is>
      </c>
      <c r="J82" s="5" t="b">
        <v>1</v>
      </c>
      <c r="K82" s="5" t="inlineStr"/>
      <c r="L82" s="5" t="b">
        <v>0</v>
      </c>
      <c r="M82" s="5" t="inlineStr">
        <is>
          <t>definition</t>
        </is>
      </c>
      <c r="N82" s="5" t="inlineStr">
        <is>
          <t>medium</t>
        </is>
      </c>
      <c r="O82" s="5" t="inlineStr">
        <is>
          <t>monitoring_improvement</t>
        </is>
      </c>
      <c r="P82" s="5" t="n">
        <v>5</v>
      </c>
      <c r="Q82" s="5" t="b">
        <v>1</v>
      </c>
      <c r="R82" s="5" t="inlineStr">
        <is>
          <t>The answer restates the three methods (SEM, HLM, longitudinal mixed-methods designs) and their purpose exactly as given in the evidence. | The question identifies the source by its content, a systematic review of generative AI in entrepreneurship education, and contains no unseen references or undefined acronyms.</t>
        </is>
      </c>
      <c r="S82" s="5" t="inlineStr">
        <is>
          <t>What research methods does a systematic review of generative AI-enabled entrepreneurship education recommend to rigorously test its influence across cultural and institutional contexts?</t>
        </is>
      </c>
      <c r="T82" s="5" t="inlineStr"/>
      <c r="U82" s="5" t="inlineStr"/>
      <c r="V82" s="5" t="inlineStr"/>
      <c r="W82" s="5" t="inlineStr"/>
      <c r="X82" s="5" t="inlineStr">
        <is>
          <t>pilot</t>
        </is>
      </c>
      <c r="Y82" s="5" t="inlineStr">
        <is>
          <t>toward-understanding-the-role-of-generative-ai:0000:q4</t>
        </is>
      </c>
    </row>
    <row r="83">
      <c r="A83" s="5" t="n">
        <v>82</v>
      </c>
      <c r="B83" s="5" t="b">
        <v>0</v>
      </c>
      <c r="C83" s="6" t="n"/>
      <c r="D83" s="6" t="n"/>
      <c r="E83" s="5" t="n"/>
      <c r="F83" s="5" t="inlineStr">
        <is>
          <t>In a systematic review of generative AI in entrepreneurship education, which technical characteristics qualified a study as aligned with generative AI?</t>
        </is>
      </c>
      <c r="G83" s="5" t="inlineStr">
        <is>
          <t>Studies were retained only if they showed clear conceptual or technical alignment with generative AI, meaning the use of generative adversarial networks (GANs), LLMs, transformer-based architectures, or neural networks specifically designed for content generation.</t>
        </is>
      </c>
      <c r="H83" s="5" t="inlineStr">
        <is>
          <t>Toward understanding the role of generative AI in entrepreneurship education: A systematic review, p. 3</t>
        </is>
      </c>
      <c r="I83" s="5" t="inlineStr">
        <is>
          <t>Specifically, studies were retained only if they demonstrated a clear conceptual or technical alignment with the core characteristics of GAI including the use of generative adversarial networks (GANs), LLMs, transformer-based architectures, or neural networks specifically designed for content generation. In contrast, studies that referred to "Artificial Intelligence" in a broad or generic sense without involving generative functionalities were excluded.</t>
        </is>
      </c>
      <c r="J83" s="5" t="b">
        <v>1</v>
      </c>
      <c r="K83" s="5" t="inlineStr"/>
      <c r="L83" s="5" t="b">
        <v>0</v>
      </c>
      <c r="M83" s="5" t="inlineStr">
        <is>
          <t>definition</t>
        </is>
      </c>
      <c r="N83" s="5" t="inlineStr">
        <is>
          <t>easy</t>
        </is>
      </c>
      <c r="O83" s="5" t="inlineStr">
        <is>
          <t>general</t>
        </is>
      </c>
      <c r="P83" s="5" t="n">
        <v>4</v>
      </c>
      <c r="Q83" s="5" t="b">
        <v>1</v>
      </c>
      <c r="R83" s="5" t="inlineStr">
        <is>
          <t>The answer closely restates the evidence. It only rewords 'including' as 'meaning', which slightly narrows the list from examples to a definition. | The question names the systematic review by its topic and asks a clear question, with no references to unseen context.</t>
        </is>
      </c>
      <c r="S83" s="5" t="inlineStr">
        <is>
          <t>What technical features did a study need to show to be counted as generative AI in a systematic review on entrepreneurship education?</t>
        </is>
      </c>
      <c r="T83" s="5" t="inlineStr">
        <is>
          <t>Which technical features did a systematic review of generative AI in entrepreneurship education require for a study to be considered aligned with generative AI?</t>
        </is>
      </c>
      <c r="U83" s="5" t="inlineStr"/>
      <c r="V83" s="5" t="inlineStr"/>
      <c r="W83" s="5" t="inlineStr"/>
      <c r="X83" s="5" t="inlineStr">
        <is>
          <t>pilot</t>
        </is>
      </c>
      <c r="Y83" s="5" t="inlineStr">
        <is>
          <t>toward-understanding-the-role-of-generative-ai:0005:q0</t>
        </is>
      </c>
    </row>
    <row r="84">
      <c r="A84" s="5" t="n">
        <v>83</v>
      </c>
      <c r="B84" s="5" t="b">
        <v>0</v>
      </c>
      <c r="C84" s="6" t="n"/>
      <c r="D84" s="6" t="n"/>
      <c r="E84" s="5" t="n"/>
      <c r="F84" s="5" t="inlineStr">
        <is>
          <t>Why did a systematic review of generative AI in entrepreneurship education conduct a quality assessment during full-text review?</t>
        </is>
      </c>
      <c r="G84" s="5" t="inlineStr">
        <is>
          <t>Quality assessment was described as a critical step in systematic evaluations that significantly impacts the reliability of research findings.</t>
        </is>
      </c>
      <c r="H84" s="5" t="inlineStr">
        <is>
          <t>Toward understanding the role of generative AI in entrepreneurship education: A systematic review, p. 3</t>
        </is>
      </c>
      <c r="I84" s="5" t="inlineStr">
        <is>
          <t>During the full-text review, a quality assessment was conducted, a critical step in systematic evaluations that significantly impacts the reliability of research findings (Okoli, 2015; Xiao &amp; Watson, 2019).</t>
        </is>
      </c>
      <c r="J84" s="5" t="b">
        <v>0</v>
      </c>
      <c r="K84" s="5" t="inlineStr">
        <is>
          <t>format(sentences=1,allowed=2-5)</t>
        </is>
      </c>
      <c r="L84" s="5" t="b">
        <v>0</v>
      </c>
      <c r="M84" s="5" t="inlineStr">
        <is>
          <t>explanation</t>
        </is>
      </c>
      <c r="N84" s="5" t="inlineStr">
        <is>
          <t>medium</t>
        </is>
      </c>
      <c r="O84" s="5" t="inlineStr">
        <is>
          <t>monitoring_improvement</t>
        </is>
      </c>
      <c r="P84" s="5" t="n">
        <v>5</v>
      </c>
      <c r="Q84" s="5" t="b">
        <v>1</v>
      </c>
      <c r="R84" s="5" t="inlineStr">
        <is>
          <t>The answer directly restates the evidence's description of quality assessment as a critical step affecting the reliability of findings. | The question names the review by its topic and is understandable without seeing the source.</t>
        </is>
      </c>
      <c r="S84" s="5" t="inlineStr">
        <is>
          <t>What reason was given for performing a quality assessment at the full-text stage of a systematic review on generative AI in entrepreneurship education?</t>
        </is>
      </c>
      <c r="T84" s="5" t="inlineStr">
        <is>
          <t>Why was quality assessment included during full-text review in a systematic review of generative AI in entrepreneurship education?</t>
        </is>
      </c>
      <c r="U84" s="5" t="inlineStr"/>
      <c r="V84" s="5" t="inlineStr"/>
      <c r="W84" s="5" t="inlineStr"/>
      <c r="X84" s="5" t="inlineStr">
        <is>
          <t>pilot</t>
        </is>
      </c>
      <c r="Y84" s="5" t="inlineStr">
        <is>
          <t>toward-understanding-the-role-of-generative-ai:0005:q2</t>
        </is>
      </c>
    </row>
    <row r="85">
      <c r="A85" s="5" t="n">
        <v>84</v>
      </c>
      <c r="B85" s="5" t="b">
        <v>0</v>
      </c>
      <c r="C85" s="6" t="n"/>
      <c r="D85" s="6" t="n"/>
      <c r="E85" s="5" t="n"/>
      <c r="F85" s="5" t="inlineStr">
        <is>
          <t>In a systematic review of generative AI in entrepreneurship education, how were pre-2022 studies treated with respect to eligibility as generative AI literature?</t>
        </is>
      </c>
      <c r="G85" s="5" t="inlineStr">
        <is>
          <t>Earlier studies focused on algorithmic foundations, prototype generative systems, or theoretical frameworks directly relevant to functionalities later embodied in generative tools were considered eligible. This applied particularly to those published prior to 2022, before the public release of large-scale platforms such as ChatGPT and DALL-E.</t>
        </is>
      </c>
      <c r="H85" s="5" t="inlineStr">
        <is>
          <t>Toward understanding the role of generative AI in entrepreneurship education: A systematic review, p. 3</t>
        </is>
      </c>
      <c r="I85" s="5" t="inlineStr">
        <is>
          <t>Earlier studies that focused on algorithmic foundations, prototype generative systems, or theoretical frameworks directly relevant to the functionalities later embodied in generative tools were considered eligible for inclusion particularly those published prior to 2022, before the public release of large-scale GAI platforms such as ChatGPT and DALL-E.</t>
        </is>
      </c>
      <c r="J85" s="5" t="b">
        <v>1</v>
      </c>
      <c r="K85" s="5" t="inlineStr"/>
      <c r="L85" s="5" t="b">
        <v>0</v>
      </c>
      <c r="M85" s="5" t="inlineStr">
        <is>
          <t>definition</t>
        </is>
      </c>
      <c r="N85" s="5" t="inlineStr">
        <is>
          <t>medium</t>
        </is>
      </c>
      <c r="O85" s="5" t="inlineStr">
        <is>
          <t>general</t>
        </is>
      </c>
      <c r="P85" s="5" t="n">
        <v>5</v>
      </c>
      <c r="Q85" s="5" t="b">
        <v>1</v>
      </c>
      <c r="R85" s="5" t="inlineStr">
        <is>
          <t>The answer closely restates the evidence. It names the eligible categories, the pre-2022 emphasis and the ChatGPT and DALL-E release. | The question names the review by its topic and does not depend on any unseen context.</t>
        </is>
      </c>
      <c r="S85" s="5" t="inlineStr">
        <is>
          <t>How did a review of generative AI in entrepreneurship education handle studies published before 2022 when deciding eligibility?</t>
        </is>
      </c>
      <c r="T85" s="5" t="inlineStr">
        <is>
          <t>Could studies from before 2022 count as generative AI literature in a systematic review on entrepreneurship education, and on what basis?</t>
        </is>
      </c>
      <c r="U85" s="5" t="inlineStr"/>
      <c r="V85" s="5" t="inlineStr"/>
      <c r="W85" s="5" t="inlineStr"/>
      <c r="X85" s="5" t="inlineStr">
        <is>
          <t>pilot</t>
        </is>
      </c>
      <c r="Y85" s="5" t="inlineStr">
        <is>
          <t>toward-understanding-the-role-of-generative-ai:0005:q3</t>
        </is>
      </c>
    </row>
    <row r="86">
      <c r="A86" s="5" t="n">
        <v>85</v>
      </c>
      <c r="B86" s="5" t="b">
        <v>0</v>
      </c>
      <c r="C86" s="6" t="n"/>
      <c r="D86" s="6" t="n"/>
      <c r="E86" s="5" t="n"/>
      <c r="F86" s="5" t="inlineStr">
        <is>
          <t>A university researcher wants to contribute new work on AI in entrepreneurship education and is looking for an under-explored area. Existing research has examined how AI may support student motivation. Which aspect of entrepreneurship education has that research discussed only to a limited extent?</t>
        </is>
      </c>
      <c r="G86" s="5" t="inlineStr">
        <is>
          <t>Specific research has explored how AI may support student motivation, but it has offered limited discussion on entrepreneurship education's pedagogical models and instructional strategies.</t>
        </is>
      </c>
      <c r="H86" s="5" t="inlineStr">
        <is>
          <t>Toward understanding the role of generative AI in entrepreneurship education: A systematic review, p. 3</t>
        </is>
      </c>
      <c r="I86" s="5" t="inlineStr">
        <is>
          <t>Likewise, specific research has explored how AI may support student motivation, but it has offered limited discussion on EE's pedagogical models and instructional strategies (Artemova, 2024).</t>
        </is>
      </c>
      <c r="J86" s="5" t="b">
        <v>0</v>
      </c>
      <c r="K86" s="5" t="inlineStr">
        <is>
          <t>format(sentences=1,allowed=2-5)</t>
        </is>
      </c>
      <c r="L86" s="5" t="b">
        <v>1</v>
      </c>
      <c r="M86" s="5" t="inlineStr">
        <is>
          <t>application</t>
        </is>
      </c>
      <c r="N86" s="5" t="inlineStr">
        <is>
          <t>hard</t>
        </is>
      </c>
      <c r="O86" s="5" t="inlineStr">
        <is>
          <t>teaching_learning</t>
        </is>
      </c>
      <c r="P86" s="5" t="n">
        <v>5</v>
      </c>
      <c r="Q86" s="5" t="b">
        <v>1</v>
      </c>
      <c r="R86" s="5" t="inlineStr">
        <is>
          <t>The answer directly restates the evidence: it expands EE to entrepreneurship education and adds nothing else. | The question describes the research context by its content and has no undefined references or acronyms.</t>
        </is>
      </c>
      <c r="S86" s="5" t="inlineStr">
        <is>
          <t>A scholar is seeking a gap in research on AI in entrepreneurship education, where prior work has looked at AI supporting student motivation. What aspect of entrepreneurship education has received limited discussion?</t>
        </is>
      </c>
      <c r="T86" s="5" t="inlineStr">
        <is>
          <t>Prior research has explored how AI may support student motivation in entrepreneurship education. For a researcher seeking a gap to address, which aspect of entrepreneurship education has that research covered only limitedly?</t>
        </is>
      </c>
      <c r="U86" s="5" t="inlineStr">
        <is>
          <t>A university researcher wants to contribute new work on AI in entrepreneurship education where existing research is thin. Based on what a systematic review noted about prior research, which area is under-discussed?</t>
        </is>
      </c>
      <c r="V86" s="5" t="inlineStr">
        <is>
          <t>Existing research has explored how AI may support student motivation, but it has offered limited discussion on entrepreneurship education's pedagogical models and instructional strategies.</t>
        </is>
      </c>
      <c r="W86" s="5" t="inlineStr">
        <is>
          <t>not_standalone(judge). The answer restates the evidence, expanding 'EE' to 'entrepreneurship education', which is trivial rewording. The question's 'systematic review' framing is not shown in the evidence (only a citation to Artemova, 2024), but the answer makes no claim about it. The question relies on 'a systematic review' that it never identifies by author or content. An outsider cannot tell which review's observations are meant.</t>
        </is>
      </c>
      <c r="X86" s="5" t="inlineStr">
        <is>
          <t>pilot</t>
        </is>
      </c>
      <c r="Y86" s="5" t="inlineStr">
        <is>
          <t>toward-understanding-the-role-of-generative-ai:0005:q4</t>
        </is>
      </c>
    </row>
    <row r="87">
      <c r="A87" s="5" t="n">
        <v>86</v>
      </c>
      <c r="B87" s="5" t="b">
        <v>0</v>
      </c>
      <c r="C87" s="6" t="n"/>
      <c r="D87" s="6" t="n"/>
      <c r="E87" s="5" t="n"/>
      <c r="F87" s="5" t="inlineStr">
        <is>
          <t>What three core dimensions through which generative AI enhances entrepreneurship education were identified in a systematic review of 50 papers?</t>
        </is>
      </c>
      <c r="G87" s="5" t="inlineStr">
        <is>
          <t>The review identified three core dimensions: teaching and learning, entrepreneurial capabilities, and the entrepreneurial ecosystem.</t>
        </is>
      </c>
      <c r="H87" s="5" t="inlineStr">
        <is>
          <t>Toward understanding the role of generative AI in entrepreneurship education: A systematic review, p. 14</t>
        </is>
      </c>
      <c r="I87" s="5" t="inlineStr">
        <is>
          <t>This study systematically reviewed 50 relevant papers and identified three core dimensions of GAI enhancing EE: teaching and learning, entrepreneurial capabilities, and the entrepreneurial ecosystem.</t>
        </is>
      </c>
      <c r="J87" s="5" t="b">
        <v>1</v>
      </c>
      <c r="K87" s="5" t="inlineStr"/>
      <c r="L87" s="5" t="b">
        <v>0</v>
      </c>
      <c r="M87" s="5" t="inlineStr">
        <is>
          <t>factual</t>
        </is>
      </c>
      <c r="N87" s="5" t="inlineStr">
        <is>
          <t>easy</t>
        </is>
      </c>
      <c r="O87" s="5" t="inlineStr">
        <is>
          <t>teaching_learning</t>
        </is>
      </c>
      <c r="P87" s="5" t="n">
        <v>5</v>
      </c>
      <c r="Q87" s="5" t="b">
        <v>1</v>
      </c>
      <c r="R87" s="5" t="inlineStr">
        <is>
          <t>The answer directly restates the three dimensions named in the evidence. It adds nothing beyond them. | The question identifies the study by its content (a systematic review of 50 papers) and spells out generative AI and entrepreneurship education, so it uses no undefined acronyms or references to unseen context.</t>
        </is>
      </c>
      <c r="S87" s="5" t="inlineStr">
        <is>
          <t>A systematic review of 50 papers on generative AI in entrepreneurship education found which three core dimensions of enhancement?</t>
        </is>
      </c>
      <c r="T87" s="5" t="inlineStr">
        <is>
          <t>Which three dimensions of generative AI's enhancement of entrepreneurship education came out of a 50-paper systematic review?</t>
        </is>
      </c>
      <c r="U87" s="5" t="inlineStr"/>
      <c r="V87" s="5" t="inlineStr"/>
      <c r="W87" s="5" t="inlineStr"/>
      <c r="X87" s="5" t="inlineStr">
        <is>
          <t>pilot</t>
        </is>
      </c>
      <c r="Y87" s="5" t="inlineStr">
        <is>
          <t>toward-understanding-the-role-of-generative-ai:0024:q0</t>
        </is>
      </c>
    </row>
    <row r="88">
      <c r="A88" s="5" t="n">
        <v>87</v>
      </c>
      <c r="B88" s="5" t="b">
        <v>0</v>
      </c>
      <c r="C88" s="6" t="n"/>
      <c r="D88" s="6" t="n"/>
      <c r="E88" s="5" t="n"/>
      <c r="F88" s="5" t="inlineStr">
        <is>
          <t>In entrepreneurship education, what do AI-driven entrepreneurial simulation systems and LLM-based intelligent question-answering tools each offer to learners?</t>
        </is>
      </c>
      <c r="G88" s="5" t="inlineStr">
        <is>
          <t>AI-driven entrepreneurial simulation systems let students practice entrepreneurial decision-making in a low-risk environment with instant feedback, improving their ability to handle complex business scenarios. LLM-based intelligent question-answering tools remove classroom constraints of time and instructor availability, making learning more autonomous and flexible.</t>
        </is>
      </c>
      <c r="H88" s="5" t="inlineStr">
        <is>
          <t>Toward understanding the role of generative AI in entrepreneurship education: A systematic review, p. 14</t>
        </is>
      </c>
      <c r="I88" s="5" t="inlineStr">
        <is>
          <t>AI-driven entrepreneurial simulation systems enable students to practice entrepreneurial decision-making in a low-risk environment, providing instant feedback and improving their ability to handle complex business scenarios (Chen et al., 2022; Mavlutova et al., 2020; Nowak, 2020). … Additionally, intelligent question-answering tools based on LLMs remove traditional classroom constraints related to time and instructor availability, making learning more autonomous and flexible (Liang &amp; Bai, 2024; Torres Ortega et al., 2025).</t>
        </is>
      </c>
      <c r="J88" s="5" t="b">
        <v>1</v>
      </c>
      <c r="K88" s="5" t="inlineStr"/>
      <c r="L88" s="5" t="b">
        <v>0</v>
      </c>
      <c r="M88" s="5" t="inlineStr">
        <is>
          <t>definition</t>
        </is>
      </c>
      <c r="N88" s="5" t="inlineStr">
        <is>
          <t>medium</t>
        </is>
      </c>
      <c r="O88" s="5" t="inlineStr">
        <is>
          <t>teaching_learning</t>
        </is>
      </c>
      <c r="P88" s="5" t="n">
        <v>5</v>
      </c>
      <c r="Q88" s="5" t="b">
        <v>1</v>
      </c>
      <c r="R88" s="5" t="inlineStr">
        <is>
          <t>Every statement in the answer closely restates the evidence about both tools. | The question names both tools and the domain explicitly. It does not refer to any unseen context.</t>
        </is>
      </c>
      <c r="S88" s="5" t="inlineStr">
        <is>
          <t>What do AI-driven entrepreneurial simulation systems offer students, and what do LLM-based question-answering tools offer, in entrepreneurship education?</t>
        </is>
      </c>
      <c r="T88" s="5" t="inlineStr">
        <is>
          <t>How do AI-driven entrepreneurial simulations and LLM-based intelligent Q&amp;A tools each support entrepreneurship learners?</t>
        </is>
      </c>
      <c r="U88" s="5" t="inlineStr"/>
      <c r="V88" s="5" t="inlineStr"/>
      <c r="W88" s="5" t="inlineStr"/>
      <c r="X88" s="5" t="inlineStr">
        <is>
          <t>pilot</t>
        </is>
      </c>
      <c r="Y88" s="5" t="inlineStr">
        <is>
          <t>toward-understanding-the-role-of-generative-ai:0024:q1</t>
        </is>
      </c>
    </row>
    <row r="89">
      <c r="A89" s="5" t="n">
        <v>88</v>
      </c>
      <c r="B89" s="5" t="b">
        <v>0</v>
      </c>
      <c r="C89" s="6" t="n"/>
      <c r="D89" s="6" t="n"/>
      <c r="E89" s="5" t="n"/>
      <c r="F89" s="5" t="inlineStr">
        <is>
          <t>What effect does incorporating AI into entrepreneurship training have on startup teams, according to research on market forecasting and resources?</t>
        </is>
      </c>
      <c r="G89" s="5" t="inlineStr">
        <is>
          <t>Incorporating AI into entrepreneurship training improves market forecasting accuracy for startup teams and supports their ability to integrate resources effectively.</t>
        </is>
      </c>
      <c r="H89" s="5" t="inlineStr">
        <is>
          <t>Toward understanding the role of generative AI in entrepreneurship education: A systematic review, p. 14</t>
        </is>
      </c>
      <c r="I89" s="5" t="inlineStr">
        <is>
          <t>Additional research reflects that incorporating AI into entrepreneurship training improves market forecasting accuracy for startup teams and supports their ability to integrate resources effectively (Kang, 2022; Xu &amp; Sun, 2022).</t>
        </is>
      </c>
      <c r="J89" s="5" t="b">
        <v>1</v>
      </c>
      <c r="K89" s="5" t="inlineStr"/>
      <c r="L89" s="5" t="b">
        <v>0</v>
      </c>
      <c r="M89" s="5" t="inlineStr">
        <is>
          <t>factual</t>
        </is>
      </c>
      <c r="N89" s="5" t="inlineStr">
        <is>
          <t>easy</t>
        </is>
      </c>
      <c r="O89" s="5" t="inlineStr">
        <is>
          <t>teaching_learning</t>
        </is>
      </c>
      <c r="P89" s="5" t="n">
        <v>5</v>
      </c>
      <c r="Q89" s="5" t="b">
        <v>1</v>
      </c>
      <c r="R89" s="5" t="inlineStr">
        <is>
          <t>The answer repeats the evidence almost word for word. It says AI integration improves market forecasting accuracy and supports resource integration. | The question names the topic plainly and does not point to any unseen source. The phrase "according to research on market forecasting and resources" is descriptive enough to stand alone.</t>
        </is>
      </c>
      <c r="S89" s="5" t="inlineStr">
        <is>
          <t>How does adding AI to entrepreneurship training affect startup teams' forecasting and resource use?</t>
        </is>
      </c>
      <c r="T89" s="5" t="inlineStr">
        <is>
          <t>What improvements for startup teams are reported when AI is incorporated into entrepreneurship training?</t>
        </is>
      </c>
      <c r="U89" s="5" t="inlineStr"/>
      <c r="V89" s="5" t="inlineStr"/>
      <c r="W89" s="5" t="inlineStr"/>
      <c r="X89" s="5" t="inlineStr">
        <is>
          <t>pilot</t>
        </is>
      </c>
      <c r="Y89" s="5" t="inlineStr">
        <is>
          <t>toward-understanding-the-role-of-generative-ai:0024:q2</t>
        </is>
      </c>
    </row>
    <row r="90">
      <c r="A90" s="5" t="n">
        <v>89</v>
      </c>
      <c r="B90" s="5" t="b">
        <v>0</v>
      </c>
      <c r="C90" s="6" t="n"/>
      <c r="D90" s="6" t="n"/>
      <c r="E90" s="5" t="n"/>
      <c r="F90" s="5" t="inlineStr">
        <is>
          <t>In the AIware K-12 competency model's discussion of generative AI, what three key issues are named as concerns for younger students who can use these tools independently?</t>
        </is>
      </c>
      <c r="G90" s="5" t="inlineStr">
        <is>
          <t>The key issues named are algorithmic bias, hallucinations (plausible but false information), and over-reliance. These can lead to inaccuracies and impact learning outcomes.</t>
        </is>
      </c>
      <c r="H90" s="5" t="inlineStr">
        <is>
          <t>Be AIware! An AI Competency Model for K-12 Education, p. 2</t>
        </is>
      </c>
      <c r="I90" s="5" t="inlineStr">
        <is>
          <t>Key issues include algorithmic bias, hallucinations (plausible but false information), and over-reliance, which can lead to inaccuracies and impact learning outcomes.</t>
        </is>
      </c>
      <c r="J90" s="5" t="b">
        <v>1</v>
      </c>
      <c r="K90" s="5" t="inlineStr"/>
      <c r="L90" s="5" t="b">
        <v>0</v>
      </c>
      <c r="M90" s="5" t="inlineStr">
        <is>
          <t>factual</t>
        </is>
      </c>
      <c r="N90" s="5" t="inlineStr">
        <is>
          <t>easy</t>
        </is>
      </c>
      <c r="O90" s="5" t="inlineStr">
        <is>
          <t>student_ai_literacy</t>
        </is>
      </c>
      <c r="P90" s="5" t="n">
        <v>5</v>
      </c>
      <c r="Q90" s="5" t="b">
        <v>1</v>
      </c>
      <c r="R90" s="5" t="inlineStr">
        <is>
          <t>Every claim in the answer appears directly in the evidence: the three issues (algorithmic bias, hallucinations, over-reliance) and the note that they can lead to inaccuracies and impact learning outcomes. The evidence does not explicitly mention younger students using the tools independently, but that detail sits only in the question, not in the answer. | The question names a specific framework (the AIware K-12 competency model) and spells out what it is asking for. It does not lean on any unseen context.</t>
        </is>
      </c>
      <c r="S90" s="5" t="inlineStr">
        <is>
          <t>Which three main issues does the AIware K-12 competency model raise about younger students independently using generative AI tools?</t>
        </is>
      </c>
      <c r="T90" s="5" t="inlineStr">
        <is>
          <t>For younger K-12 students using generative AI on their own, what three key concerns are listed in the AIware competency model?</t>
        </is>
      </c>
      <c r="U90" s="5" t="inlineStr"/>
      <c r="V90" s="5" t="inlineStr"/>
      <c r="W90" s="5" t="inlineStr"/>
      <c r="X90" s="5" t="inlineStr">
        <is>
          <t>pilot</t>
        </is>
      </c>
      <c r="Y90" s="5" t="inlineStr">
        <is>
          <t>be-aiware-an-ai-competency-model-for-k-12:0002:q0</t>
        </is>
      </c>
    </row>
    <row r="91">
      <c r="A91" s="5" t="n">
        <v>90</v>
      </c>
      <c r="B91" s="5" t="b">
        <v>0</v>
      </c>
      <c r="C91" s="6" t="n"/>
      <c r="D91" s="6" t="n"/>
      <c r="E91" s="5" t="n"/>
      <c r="F91" s="5" t="inlineStr">
        <is>
          <t>Why can recommender systems on social media and streaming platforms be a particular concern for the political education of K-12 students?</t>
        </is>
      </c>
      <c r="G91" s="5" t="inlineStr">
        <is>
          <t>Recommender systems enhance personalization, but they can create information bubbles by limiting exposure to diverse perspectives and reinforcing existing beliefs. This can hinder critical thinking and create echo chambers, which is an especially serious concern in the political education of K-12 students.</t>
        </is>
      </c>
      <c r="H91" s="5" t="inlineStr">
        <is>
          <t>Be AIware! An AI Competency Model for K-12 Education, p. 2</t>
        </is>
      </c>
      <c r="I91" s="5" t="inlineStr">
        <is>
          <t>While these systems enhance personalization, they can create information bubbles by limiting exposure to diverse perspectives and reinforcing existing beliefs (Areeb et al., 2023; Kidwai et al., 2023). This can hinder critical thinking and create echo chambers, an especially serious concern in the political education of K-12 students</t>
        </is>
      </c>
      <c r="J91" s="5" t="b">
        <v>1</v>
      </c>
      <c r="K91" s="5" t="inlineStr"/>
      <c r="L91" s="5" t="b">
        <v>0</v>
      </c>
      <c r="M91" s="5" t="inlineStr">
        <is>
          <t>explanation</t>
        </is>
      </c>
      <c r="N91" s="5" t="inlineStr">
        <is>
          <t>medium</t>
        </is>
      </c>
      <c r="O91" s="5" t="inlineStr">
        <is>
          <t>student_ai_literacy</t>
        </is>
      </c>
      <c r="P91" s="5" t="n">
        <v>5</v>
      </c>
      <c r="Q91" s="5" t="b">
        <v>1</v>
      </c>
      <c r="R91" s="5" t="inlineStr">
        <is>
          <t>Every statement in the answer closely restates the evidence: personalization, information bubbles, limited exposure, reinforced beliefs, hindered critical thinking, echo chambers, and the K-12 political education concern. | The question names recommender systems on social media and streaming platforms and K-12 political education. It does not refer to any unseen source context.</t>
        </is>
      </c>
      <c r="S91" s="5" t="inlineStr">
        <is>
          <t>For the political education of K-12 students, what makes recommender systems used on social media and streaming platforms especially worrying?</t>
        </is>
      </c>
      <c r="T91" s="5" t="inlineStr"/>
      <c r="U91" s="5" t="inlineStr"/>
      <c r="V91" s="5" t="inlineStr"/>
      <c r="W91" s="5" t="inlineStr"/>
      <c r="X91" s="5" t="inlineStr">
        <is>
          <t>pilot</t>
        </is>
      </c>
      <c r="Y91" s="5" t="inlineStr">
        <is>
          <t>be-aiware-an-ai-competency-model-for-k-12:0002:q1</t>
        </is>
      </c>
    </row>
    <row r="92">
      <c r="A92" s="5" t="n">
        <v>91</v>
      </c>
      <c r="B92" s="5" t="b">
        <v>0</v>
      </c>
      <c r="C92" s="6" t="n"/>
      <c r="D92" s="6" t="n"/>
      <c r="E92" s="5" t="n"/>
      <c r="F92" s="5" t="inlineStr">
        <is>
          <t>What is Generative Artificial Intelligence (GAI) in relation to AI and machine learning?</t>
        </is>
      </c>
      <c r="G92" s="5" t="inlineStr">
        <is>
          <t>Generative Artificial Intelligence (GAI) is a part of AI in the realm of machine learning that focuses on creating new content, such as text, images, audio, or video, by learning from existing data.</t>
        </is>
      </c>
      <c r="H92" s="5" t="inlineStr">
        <is>
          <t>Be AIware! An AI Competency Model for K-12 Education, p. 2</t>
        </is>
      </c>
      <c r="I92" s="5" t="inlineStr">
        <is>
          <t>Generative Artificial Intelligence (GAI) is a part of AI in the realm of machine learning (ML) that focuses on creating new content, such as text, images, audio, or video, by learning from existing data.</t>
        </is>
      </c>
      <c r="J92" s="5" t="b">
        <v>1</v>
      </c>
      <c r="K92" s="5" t="inlineStr"/>
      <c r="L92" s="5" t="b">
        <v>0</v>
      </c>
      <c r="M92" s="5" t="inlineStr">
        <is>
          <t>definition</t>
        </is>
      </c>
      <c r="N92" s="5" t="inlineStr">
        <is>
          <t>easy</t>
        </is>
      </c>
      <c r="O92" s="5" t="inlineStr">
        <is>
          <t>general</t>
        </is>
      </c>
      <c r="P92" s="5" t="n">
        <v>5</v>
      </c>
      <c r="Q92" s="5" t="b">
        <v>1</v>
      </c>
      <c r="R92" s="5" t="inlineStr">
        <is>
          <t>The answer repeats the evidence nearly verbatim. It omits only the parenthetical acronym ML and adds no unsupported claims. | The question names Generative Artificial Intelligence and defines its acronym. It does not refer to any unseen source or context.</t>
        </is>
      </c>
      <c r="S92" s="5" t="inlineStr">
        <is>
          <t>How is Generative AI defined as part of AI and machine learning?</t>
        </is>
      </c>
      <c r="T92" s="5" t="inlineStr">
        <is>
          <t>What does Generative Artificial Intelligence mean, and where does it sit within AI?</t>
        </is>
      </c>
      <c r="U92" s="5" t="inlineStr"/>
      <c r="V92" s="5" t="inlineStr"/>
      <c r="W92" s="5" t="inlineStr"/>
      <c r="X92" s="5" t="inlineStr">
        <is>
          <t>pilot</t>
        </is>
      </c>
      <c r="Y92" s="5" t="inlineStr">
        <is>
          <t>be-aiware-an-ai-competency-model-for-k-12:0002:q2</t>
        </is>
      </c>
    </row>
    <row r="93">
      <c r="A93" s="5" t="n">
        <v>92</v>
      </c>
      <c r="B93" s="5" t="b">
        <v>0</v>
      </c>
      <c r="C93" s="6" t="n"/>
      <c r="D93" s="6" t="n"/>
      <c r="E93" s="5" t="n"/>
      <c r="F93" s="5" t="inlineStr">
        <is>
          <t>How can AI systems trained on biased data lead to unfair outcomes, and what example is given involving recruitment?</t>
        </is>
      </c>
      <c r="G93" s="5" t="inlineStr">
        <is>
          <t>AI systems trained on biased data can unintentionally reinforce stereotypes or unfairly exclude certain groups. For example, AI-driven recruitment systems may favor particular demographics if historical data reflects biased hiring practices, perpetuating inequalities.</t>
        </is>
      </c>
      <c r="H93" s="5" t="inlineStr">
        <is>
          <t>Be AIware! An AI Competency Model for K-12 Education, p. 2</t>
        </is>
      </c>
      <c r="I93" s="5" t="inlineStr">
        <is>
          <t>AI systems trained on biased data can unintentionally reinforce stereotypes or unfairly exclude certain groups. For example, AI-driven recruitment systems may favor particular demographics if historical data reflects biased hiring practices, perpetuating inequalities.</t>
        </is>
      </c>
      <c r="J93" s="5" t="b">
        <v>1</v>
      </c>
      <c r="K93" s="5" t="inlineStr"/>
      <c r="L93" s="5" t="b">
        <v>0</v>
      </c>
      <c r="M93" s="5" t="inlineStr">
        <is>
          <t>explanation</t>
        </is>
      </c>
      <c r="N93" s="5" t="inlineStr">
        <is>
          <t>medium</t>
        </is>
      </c>
      <c r="O93" s="5" t="inlineStr">
        <is>
          <t>equity_accessibility</t>
        </is>
      </c>
      <c r="P93" s="5" t="n">
        <v>5</v>
      </c>
      <c r="Q93" s="5" t="b">
        <v>1</v>
      </c>
      <c r="R93" s="5" t="inlineStr">
        <is>
          <t>The answer reproduces the evidence verbatim, so every statement is directly stated. | The question is self-contained. The phrase 'what example is given' is mildly source-referential, but it is still clear without seeing the source.</t>
        </is>
      </c>
      <c r="S93" s="5" t="inlineStr">
        <is>
          <t>Why can training AI systems on biased data result in unfair outcomes, as illustrated by AI recruitment systems?</t>
        </is>
      </c>
      <c r="T93" s="5" t="inlineStr">
        <is>
          <t>In what way does biased training data cause AI to reinforce stereotypes or exclude groups, and what recruitment example is offered?</t>
        </is>
      </c>
      <c r="U93" s="5" t="inlineStr"/>
      <c r="V93" s="5" t="inlineStr"/>
      <c r="W93" s="5" t="inlineStr"/>
      <c r="X93" s="5" t="inlineStr">
        <is>
          <t>pilot</t>
        </is>
      </c>
      <c r="Y93" s="5" t="inlineStr">
        <is>
          <t>be-aiware-an-ai-competency-model-for-k-12:0002:q3</t>
        </is>
      </c>
    </row>
    <row r="94">
      <c r="A94" s="5" t="n">
        <v>93</v>
      </c>
      <c r="B94" s="5" t="b">
        <v>0</v>
      </c>
      <c r="C94" s="6" t="n"/>
      <c r="D94" s="6" t="n"/>
      <c r="E94" s="5" t="n"/>
      <c r="F94" s="5" t="inlineStr">
        <is>
          <t>What does Artificial Intelligence refer to, and which processes of human intelligence does it simulate?</t>
        </is>
      </c>
      <c r="G94" s="5" t="inlineStr">
        <is>
          <t>Artificial Intelligence refers to the simulation of human intelligence processes by computer systems. These processes include learning (acquiring information and determining rules for using it), reasoning (using rules to reach conclusions), and self-correction.</t>
        </is>
      </c>
      <c r="H94" s="5" t="inlineStr">
        <is>
          <t>Be AIware! An AI Competency Model for K-12 Education, p. 2</t>
        </is>
      </c>
      <c r="I94" s="5" t="inlineStr">
        <is>
          <t>Artificial Intelligence (AI) refers to the simulation of human intelligence processes by computer systems. These processes include learning (acquiring information and determining rules for using it), reasoning (using rules to reach conclusions), and self-correction.</t>
        </is>
      </c>
      <c r="J94" s="5" t="b">
        <v>1</v>
      </c>
      <c r="K94" s="5" t="inlineStr"/>
      <c r="L94" s="5" t="b">
        <v>0</v>
      </c>
      <c r="M94" s="5" t="inlineStr">
        <is>
          <t>definition</t>
        </is>
      </c>
      <c r="N94" s="5" t="inlineStr">
        <is>
          <t>medium</t>
        </is>
      </c>
      <c r="O94" s="5" t="inlineStr">
        <is>
          <t>general</t>
        </is>
      </c>
      <c r="P94" s="5" t="n">
        <v>5</v>
      </c>
      <c r="Q94" s="5" t="b">
        <v>1</v>
      </c>
      <c r="R94" s="5" t="inlineStr">
        <is>
          <t>The answer restates the evidence essentially verbatim, and every statement is directly supported. | The question names Artificial Intelligence explicitly and asks for its definition and the processes it simulates, without referring to unseen context.</t>
        </is>
      </c>
      <c r="S94" s="5" t="inlineStr">
        <is>
          <t>How is Artificial Intelligence defined, including the human intelligence processes involved?</t>
        </is>
      </c>
      <c r="T94" s="5" t="inlineStr">
        <is>
          <t>How is Artificial Intelligence defined, and which human intelligence processes does it simulate?</t>
        </is>
      </c>
      <c r="U94" s="5" t="inlineStr"/>
      <c r="V94" s="5" t="inlineStr"/>
      <c r="W94" s="5" t="inlineStr"/>
      <c r="X94" s="5" t="inlineStr">
        <is>
          <t>pilot</t>
        </is>
      </c>
      <c r="Y94" s="5" t="inlineStr">
        <is>
          <t>be-aiware-an-ai-competency-model-for-k-12:0002:q4</t>
        </is>
      </c>
    </row>
    <row r="95">
      <c r="A95" s="5" t="n">
        <v>94</v>
      </c>
      <c r="B95" s="5" t="b">
        <v>0</v>
      </c>
      <c r="C95" s="6" t="n"/>
      <c r="D95" s="6" t="n"/>
      <c r="E95" s="5" t="n"/>
      <c r="F95" s="5" t="inlineStr">
        <is>
          <t>In the literature on AI competency frameworks, which regions were the focus of the regional adaptations by Sanusi et al. (2022) and D. Lee et al. (2022), respectively?</t>
        </is>
      </c>
      <c r="G95" s="5" t="inlineStr">
        <is>
          <t>Regional adaptations are seen in studies by Sanusi et al. (2022) and D. Lee et al. (2022), focusing on AI competencies within Africa and Korea, respectively.</t>
        </is>
      </c>
      <c r="H95" s="5" t="inlineStr">
        <is>
          <t>Be AIware! An AI Competency Model for K-12 Education, p. 3</t>
        </is>
      </c>
      <c r="I95" s="5" t="inlineStr">
        <is>
          <t>Regional adaptations are seen in studies by Sanusi et al. (2022) and D. Lee et al. (2022) focusing on AI competencies within Africa and Korea, respectively.</t>
        </is>
      </c>
      <c r="J95" s="5" t="b">
        <v>1</v>
      </c>
      <c r="K95" s="5" t="inlineStr"/>
      <c r="L95" s="5" t="b">
        <v>1</v>
      </c>
      <c r="M95" s="5" t="inlineStr">
        <is>
          <t>factual</t>
        </is>
      </c>
      <c r="N95" s="5" t="inlineStr">
        <is>
          <t>easy</t>
        </is>
      </c>
      <c r="O95" s="5" t="inlineStr">
        <is>
          <t>general</t>
        </is>
      </c>
      <c r="P95" s="5" t="n">
        <v>5</v>
      </c>
      <c r="Q95" s="5" t="b">
        <v>1</v>
      </c>
      <c r="R95" s="5" t="inlineStr">
        <is>
          <t>The answer is a near-verbatim restatement of the evidence: Sanusi et al. (2022) focused on Africa and D. Lee et al. (2022) on Korea. | The question names the specific studies and the topic (AI competency frameworks), with no references to unseen context.</t>
        </is>
      </c>
      <c r="S95" s="5" t="inlineStr">
        <is>
          <t>Sanusi et al. (2022) and D. Lee et al. (2022) each adapted AI competencies to a region; which region did each of them focus on?</t>
        </is>
      </c>
      <c r="T95" s="5" t="inlineStr">
        <is>
          <t>Which region did Sanusi et al. (2022) address, and which did D. Lee et al. (2022) address, in their regional adaptations of AI competencies?</t>
        </is>
      </c>
      <c r="U95" s="5" t="inlineStr">
        <is>
          <t>Which two sets of researchers adapted AI competencies regionally, and which regions did they focus on?</t>
        </is>
      </c>
      <c r="V95" s="5" t="inlineStr">
        <is>
          <t>Sanusi et al. (2022) focused on AI competencies within Africa, and D. Lee et al. (2022) focused on AI competencies within Korea.</t>
        </is>
      </c>
      <c r="W95" s="5" t="inlineStr">
        <is>
          <t>not_standalone(judge). The answer restates the evidence directly: Sanusi et al. (2022) focused on Africa and D. Lee et al. (2022) on Korea. Nothing is added. Asking for 'which two sets of researchers' assumes a specific unseen source that names exactly two studies. AI competencies have been adapted regionally by many researchers, so the expected answer is undetermined without that context.</t>
        </is>
      </c>
      <c r="X95" s="5" t="inlineStr">
        <is>
          <t>pilot</t>
        </is>
      </c>
      <c r="Y95" s="5" t="inlineStr">
        <is>
          <t>be-aiware-an-ai-competency-model-for-k-12:0004:q1</t>
        </is>
      </c>
    </row>
    <row r="96">
      <c r="A96" s="5" t="n">
        <v>95</v>
      </c>
      <c r="B96" s="5" t="b">
        <v>0</v>
      </c>
      <c r="C96" s="6" t="n"/>
      <c r="D96" s="6" t="n"/>
      <c r="E96" s="5" t="n"/>
      <c r="F96" s="5" t="inlineStr">
        <is>
          <t>What is the focus of the frameworks by Vuorkari et al. (2022) and Bekiaridis (2023) on AI competencies?</t>
        </is>
      </c>
      <c r="G96" s="5" t="inlineStr">
        <is>
          <t>The frameworks by Vuorkari et al. (2022) and Bekiaridis (2023) focused on integrating AI into broader digital literacy. They were aimed at citizens.</t>
        </is>
      </c>
      <c r="H96" s="5" t="inlineStr">
        <is>
          <t>Be AIware! An AI Competency Model for K-12 Education, p. 3</t>
        </is>
      </c>
      <c r="I96" s="5" t="inlineStr">
        <is>
          <t>Frameworks by Vuorkari et al. (2022) and Bekiaridis (2023) focused on integrating AI into broader digital literacy, aimed at citizens.</t>
        </is>
      </c>
      <c r="J96" s="5" t="b">
        <v>1</v>
      </c>
      <c r="K96" s="5" t="inlineStr"/>
      <c r="L96" s="5" t="b">
        <v>0</v>
      </c>
      <c r="M96" s="5" t="inlineStr">
        <is>
          <t>definition</t>
        </is>
      </c>
      <c r="N96" s="5" t="inlineStr">
        <is>
          <t>medium</t>
        </is>
      </c>
      <c r="O96" s="5" t="inlineStr">
        <is>
          <t>student_ai_literacy</t>
        </is>
      </c>
      <c r="P96" s="5" t="n">
        <v>5</v>
      </c>
      <c r="Q96" s="5" t="b">
        <v>1</v>
      </c>
      <c r="R96" s="5" t="inlineStr">
        <is>
          <t>Both statements, integration of AI into broader digital literacy and the aim at citizens, are stated directly in the evidence. | The question names specific cited works by author and year. It needs no unseen context to be understood.</t>
        </is>
      </c>
      <c r="S96" s="5" t="inlineStr">
        <is>
          <t>What do the AI competency frameworks developed by Vuorkari et al. (2022) and Bekiaridis (2023) focus on?</t>
        </is>
      </c>
      <c r="T96" s="5" t="inlineStr">
        <is>
          <t>Which focus do Vuorkari et al. (2022) and Bekiaridis (2023) adopt in their frameworks for AI competencies?</t>
        </is>
      </c>
      <c r="U96" s="5" t="inlineStr"/>
      <c r="V96" s="5" t="inlineStr"/>
      <c r="W96" s="5" t="inlineStr"/>
      <c r="X96" s="5" t="inlineStr">
        <is>
          <t>pilot</t>
        </is>
      </c>
      <c r="Y96" s="5" t="inlineStr">
        <is>
          <t>be-aiware-an-ai-competency-model-for-k-12:0004:q2</t>
        </is>
      </c>
    </row>
    <row r="97">
      <c r="A97" s="5" t="n">
        <v>96</v>
      </c>
      <c r="B97" s="5" t="b">
        <v>0</v>
      </c>
      <c r="C97" s="6" t="n"/>
      <c r="D97" s="6" t="n"/>
      <c r="E97" s="5" t="n"/>
      <c r="F97" s="5" t="inlineStr">
        <is>
          <t>What do four K-12 AI curricula, three mapped by UNESCO and one developed by T. K. F. Chiu (2021), primarily introduce?</t>
        </is>
      </c>
      <c r="G97" s="5" t="inlineStr">
        <is>
          <t>Four K-12 AI curricula, three mapped by UNESCO and one developed by T. K. F. Chiu (2021), primarily introduce basic AI concepts to K-12 students and teachers.</t>
        </is>
      </c>
      <c r="H97" s="5" t="inlineStr">
        <is>
          <t>Be AIware! An AI Competency Model for K-12 Education, p. 3</t>
        </is>
      </c>
      <c r="I97" s="5" t="inlineStr">
        <is>
          <t>Four K-12 AI curricula, three mapped by UNESCO (UNESCO, 2022; 2024a; 2024b) and the other developed by T. K. F. Chiu (2021), primarily introduce basic AI concepts to K-12 students and teachers.</t>
        </is>
      </c>
      <c r="J97" s="5" t="b">
        <v>1</v>
      </c>
      <c r="K97" s="5" t="inlineStr"/>
      <c r="L97" s="5" t="b">
        <v>0</v>
      </c>
      <c r="M97" s="5" t="inlineStr">
        <is>
          <t>factual</t>
        </is>
      </c>
      <c r="N97" s="5" t="inlineStr">
        <is>
          <t>easy</t>
        </is>
      </c>
      <c r="O97" s="5" t="inlineStr">
        <is>
          <t>teaching_learning</t>
        </is>
      </c>
      <c r="P97" s="5" t="n">
        <v>5</v>
      </c>
      <c r="Q97" s="5" t="b">
        <v>1</v>
      </c>
      <c r="R97" s="5" t="inlineStr">
        <is>
          <t>The answer restates the evidence sentence almost verbatim. Every claim is directly supported. | The question identifies the curricula by their content: four K-12 AI curricula, three mapped by UNESCO and one by Chiu (2021). It does not rely on unseen context.</t>
        </is>
      </c>
      <c r="S97" s="5" t="inlineStr">
        <is>
          <t>What is the main content introduced by the four K-12 AI curricula, three mapped by UNESCO and one by Chiu (2021)?</t>
        </is>
      </c>
      <c r="T97" s="5" t="inlineStr">
        <is>
          <t>Which main content do four K-12 AI curricula, three of them mapped by UNESCO and one created by T. K. F. Chiu (2021), mainly present to learners?</t>
        </is>
      </c>
      <c r="U97" s="5" t="inlineStr"/>
      <c r="V97" s="5" t="inlineStr"/>
      <c r="W97" s="5" t="inlineStr"/>
      <c r="X97" s="5" t="inlineStr">
        <is>
          <t>pilot</t>
        </is>
      </c>
      <c r="Y97" s="5" t="inlineStr">
        <is>
          <t>be-aiware-an-ai-competency-model-for-k-12:0004:q4</t>
        </is>
      </c>
    </row>
    <row r="98">
      <c r="A98" s="5" t="n">
        <v>97</v>
      </c>
      <c r="B98" s="5" t="b">
        <v>0</v>
      </c>
      <c r="C98" s="6" t="n"/>
      <c r="D98" s="6" t="n"/>
      <c r="E98" s="5" t="n"/>
      <c r="F98" s="5" t="inlineStr">
        <is>
          <t>A researcher plans a review of generative AI in entrepreneurship education and worries that published studies mostly report benefits and that findings come mainly from university settings. What limitations and future directions does a 2025 systematic review of generative AI in entrepreneurship education identify that apply to this plan?</t>
        </is>
      </c>
      <c r="G98" s="5" t="inlineStr">
        <is>
          <t>Publication bias may overrepresent positive effects and underreport drawbacks such as increased student dependence, academic integrity concerns, and ethical challenges. Future studies should incorporate unpublished datasets, industry reports, and real-world educational experiments for a more balanced perspective. Because most reviewed studies focus on university-level higher education, it remains uncertain whether the approaches apply to vocational training, informal learning, or culturally diverse environments.</t>
        </is>
      </c>
      <c r="H98" s="5" t="inlineStr">
        <is>
          <t>Toward understanding the role of generative AI in entrepreneurship education: A systematic review, p. 19</t>
        </is>
      </c>
      <c r="I98" s="5" t="inlineStr">
        <is>
          <t>Potential publication bias may also lead to an overrepresentation of GAI's positive effects, while underreporting its drawbacks, such as increased student dependence, concerns about academic integrity, and ethical challenges. … Future studies should incorporate unpublished datasets, industry reports, and real-world educational experiments to provide a more balanced perspective. … Second, the generalizability of the findings is limited by the fact that most reviewed studies focus on higher education, particularly at the university level. The applicability of these approaches to other contexts, such as vocational training, informal learning, or culturally diverse educational environments, remains uncertain.</t>
        </is>
      </c>
      <c r="J98" s="5" t="b">
        <v>1</v>
      </c>
      <c r="K98" s="5" t="inlineStr"/>
      <c r="L98" s="5" t="b">
        <v>0</v>
      </c>
      <c r="M98" s="5" t="inlineStr">
        <is>
          <t>application</t>
        </is>
      </c>
      <c r="N98" s="5" t="inlineStr">
        <is>
          <t>hard</t>
        </is>
      </c>
      <c r="O98" s="5" t="inlineStr">
        <is>
          <t>general</t>
        </is>
      </c>
      <c r="P98" s="5" t="n">
        <v>5</v>
      </c>
      <c r="Q98" s="5" t="b">
        <v>1</v>
      </c>
      <c r="R98" s="5" t="inlineStr">
        <is>
          <t>Every statement restates the evidence directly: publication bias and the drawbacks it may underreport, the proposed future data sources, and the generalizability limits beyond university settings. | The question identifies the source by its content (a 2025 systematic review of generative AI in entrepreneurship education), and 'this plan' refers to the scenario described within the question itself.</t>
        </is>
      </c>
      <c r="S98" s="5" t="inlineStr">
        <is>
          <t>I am planning a review of generative AI in entrepreneurship education, and I am concerned that the published studies mostly report benefits and draw mainly on university settings. Which limitations and future directions does a 2025 systematic review of generative AI in entrepreneurship education identify that bear on this plan?</t>
        </is>
      </c>
      <c r="T98" s="5" t="inlineStr">
        <is>
          <t>A researcher preparing to review generative AI in entrepreneurship education is worried about a literature that mostly reports positive outcomes and comes largely from universities. What limitations and future directions are identified in a 2025 systematic review of generative AI in entrepreneurship education that are relevant to this plan?</t>
        </is>
      </c>
      <c r="U98" s="5" t="inlineStr"/>
      <c r="V98" s="5" t="inlineStr"/>
      <c r="W98" s="5" t="inlineStr"/>
      <c r="X98" s="5" t="inlineStr">
        <is>
          <t>pilot</t>
        </is>
      </c>
      <c r="Y98" s="5" t="inlineStr">
        <is>
          <t>toward-understanding-the-role-of-generative-ai:0033:q0</t>
        </is>
      </c>
    </row>
    <row r="99">
      <c r="A99" s="5" t="n">
        <v>98</v>
      </c>
      <c r="B99" s="5" t="b">
        <v>0</v>
      </c>
      <c r="C99" s="6" t="n"/>
      <c r="D99" s="6" t="n"/>
      <c r="E99" s="5" t="n"/>
      <c r="F99" s="5" t="inlineStr">
        <is>
          <t>Why does a systematic review of generative AI in entrepreneurship education say its ability to quantify GAI's influence and establish causal relationships is limited, and what does it recommend?</t>
        </is>
      </c>
      <c r="G99" s="5" t="inlineStr">
        <is>
          <t>The review does not include a meta-analysis, which could provide a quantitative assessment of GAI's influence, and its reliance on prior research limits the ability to establish causal relationships. Future research should integrate systematic meta-analyses and longitudinal empirical studies to validate the mechanisms through which GAI improves entrepreneurial competencies and outcomes.</t>
        </is>
      </c>
      <c r="H99" s="5" t="inlineStr">
        <is>
          <t>Toward understanding the role of generative AI in entrepreneurship education: A systematic review, p. 19</t>
        </is>
      </c>
      <c r="I99" s="5" t="inlineStr">
        <is>
          <t>it does not include a meta-analysis, which could provide a quantitative assessment of GAI's influence. Moreover, reliance on prior research limits the ability to establish causal relationships. Future research should integrate systematic meta-analyses and longitudinal empirical studies to validate the mechanisms through which GAI improves entrepreneurial competencies and outcomes.</t>
        </is>
      </c>
      <c r="J99" s="5" t="b">
        <v>1</v>
      </c>
      <c r="K99" s="5" t="inlineStr"/>
      <c r="L99" s="5" t="b">
        <v>0</v>
      </c>
      <c r="M99" s="5" t="inlineStr">
        <is>
          <t>explanation</t>
        </is>
      </c>
      <c r="N99" s="5" t="inlineStr">
        <is>
          <t>medium</t>
        </is>
      </c>
      <c r="O99" s="5" t="inlineStr">
        <is>
          <t>monitoring_improvement</t>
        </is>
      </c>
      <c r="P99" s="5" t="n">
        <v>5</v>
      </c>
      <c r="Q99" s="5" t="b">
        <v>1</v>
      </c>
      <c r="R99" s="5" t="inlineStr">
        <is>
          <t>Every statement in the answer restates the evidence nearly verbatim: no meta-analysis, reliance on prior research limiting causal claims, and the recommendation for meta-analyses and longitudinal studies. | The question identifies the review by its content (a systematic review of generative AI in entrepreneurship education). GAI is used right after 'generative AI', so its meaning is clear.</t>
        </is>
      </c>
      <c r="S99" s="5" t="inlineStr">
        <is>
          <t>What limits a systematic review of generative AI in entrepreneurship education from quantifying GAI's influence and establishing causality, and what future research does it recommend?</t>
        </is>
      </c>
      <c r="T99" s="5" t="inlineStr">
        <is>
          <t>For a systematic review of generative AI in entrepreneurship education, why are quantification and causal inference limited, and what approaches are recommended?</t>
        </is>
      </c>
      <c r="U99" s="5" t="inlineStr"/>
      <c r="V99" s="5" t="inlineStr"/>
      <c r="W99" s="5" t="inlineStr"/>
      <c r="X99" s="5" t="inlineStr">
        <is>
          <t>pilot</t>
        </is>
      </c>
      <c r="Y99" s="5" t="inlineStr">
        <is>
          <t>toward-understanding-the-role-of-generative-ai:0033:q3</t>
        </is>
      </c>
    </row>
    <row r="100">
      <c r="A100" s="5" t="n">
        <v>99</v>
      </c>
      <c r="B100" s="5" t="b">
        <v>0</v>
      </c>
      <c r="C100" s="6" t="n"/>
      <c r="D100" s="6" t="n"/>
      <c r="E100" s="5" t="n"/>
      <c r="F100" s="5" t="inlineStr">
        <is>
          <t>What does Research Proposition 2 in a review of generative AI in entrepreneurship education claim about the effectiveness of GAI-enabled entrepreneurship education across settings?</t>
        </is>
      </c>
      <c r="G100" s="5" t="inlineStr">
        <is>
          <t>Research Proposition 2 holds that the effectiveness of GAI-enabled entrepreneurship education varies across cultural and contextual settings. It is influenced by macro-level factors such as government support, economic conditions, and cultural norms.</t>
        </is>
      </c>
      <c r="H100" s="5" t="inlineStr">
        <is>
          <t>Toward understanding the role of generative AI in entrepreneurship education: A systematic review, p. 19</t>
        </is>
      </c>
      <c r="I100" s="5" t="inlineStr">
        <is>
          <t>Research Proposition 2: The effectiveness of GAI-enabled EE varies across cultural and contextual settings, influenced by macro-level factors such as government support, economic conditions, and cultural norms.</t>
        </is>
      </c>
      <c r="J100" s="5" t="b">
        <v>1</v>
      </c>
      <c r="K100" s="5" t="inlineStr"/>
      <c r="L100" s="5" t="b">
        <v>0</v>
      </c>
      <c r="M100" s="5" t="inlineStr">
        <is>
          <t>definition</t>
        </is>
      </c>
      <c r="N100" s="5" t="inlineStr">
        <is>
          <t>medium</t>
        </is>
      </c>
      <c r="O100" s="5" t="inlineStr">
        <is>
          <t>equity_accessibility</t>
        </is>
      </c>
      <c r="P100" s="5" t="n">
        <v>5</v>
      </c>
      <c r="Q100" s="5" t="b">
        <v>1</v>
      </c>
      <c r="R100" s="5" t="inlineStr">
        <is>
          <t>The answer directly restates the proposition, including variation across cultural and contextual settings and the macro-level factors of government support, economic conditions and cultural norms. | The question names the review by its content and specifies the proposition. GAI is effectively defined by the phrase 'generative AI' in the question.</t>
        </is>
      </c>
      <c r="S100" s="5" t="inlineStr">
        <is>
          <t>How does Research Proposition 2 in a generative AI entrepreneurship education review characterize the effectiveness of GAI-enabled entrepreneurship education across contexts?</t>
        </is>
      </c>
      <c r="T100" s="5" t="inlineStr">
        <is>
          <t>In a review of generative AI in entrepreneurship education, what is asserted by Research Proposition 2 about variation in effectiveness across cultural and contextual settings?</t>
        </is>
      </c>
      <c r="U100" s="5" t="inlineStr"/>
      <c r="V100" s="5" t="inlineStr"/>
      <c r="W100" s="5" t="inlineStr"/>
      <c r="X100" s="5" t="inlineStr">
        <is>
          <t>pilot</t>
        </is>
      </c>
      <c r="Y100" s="5" t="inlineStr">
        <is>
          <t>toward-understanding-the-role-of-generative-ai:0033:q4</t>
        </is>
      </c>
    </row>
    <row r="101">
      <c r="A101" s="5" t="n">
        <v>100</v>
      </c>
      <c r="B101" s="5" t="b">
        <v>0</v>
      </c>
      <c r="C101" s="6" t="n"/>
      <c r="D101" s="6" t="n"/>
      <c r="E101" s="5" t="n"/>
      <c r="F101" s="5" t="inlineStr">
        <is>
          <t>By how many competencies was the list in the AIware K-12 AI competency model reduced during the iterative focus group process?</t>
        </is>
      </c>
      <c r="G101" s="5" t="inlineStr">
        <is>
          <t>The focus group process refined the competencies from 140 to 98. This was done by excluding duplicates and renaming some.</t>
        </is>
      </c>
      <c r="H101" s="5" t="inlineStr">
        <is>
          <t>Be AIware! An AI Competency Model for K-12 Education, p. 5</t>
        </is>
      </c>
      <c r="I101" s="5" t="inlineStr">
        <is>
          <t>This process resulted in refining the competencies from 140 to 98 by excluding duplicates and renaming some.</t>
        </is>
      </c>
      <c r="J101" s="5" t="b">
        <v>1</v>
      </c>
      <c r="K101" s="5" t="inlineStr"/>
      <c r="L101" s="5" t="b">
        <v>0</v>
      </c>
      <c r="M101" s="5" t="inlineStr">
        <is>
          <t>factual</t>
        </is>
      </c>
      <c r="N101" s="5" t="inlineStr">
        <is>
          <t>easy</t>
        </is>
      </c>
      <c r="O101" s="5" t="inlineStr">
        <is>
          <t>teaching_learning</t>
        </is>
      </c>
      <c r="P101" s="5" t="n">
        <v>4</v>
      </c>
      <c r="Q101" s="5" t="b">
        <v>1</v>
      </c>
      <c r="R101" s="5" t="inlineStr">
        <is>
          <t>The answer restates the evidence (140 to 98, by excluding duplicates and renaming some). The evidence says only 'this process' and does not name a focus group process, so that attribution comes from the question's framing rather than the quote. | The question names the specific AIware K-12 AI competency model and the focus group process, so it is understandable without seeing the source.</t>
        </is>
      </c>
      <c r="S101" s="5" t="inlineStr">
        <is>
          <t>During the iterative focus group process for the AIware K-12 AI competency model, what was the size of the reduction in the number of competencies on the list?</t>
        </is>
      </c>
      <c r="T101" s="5" t="inlineStr">
        <is>
          <t>How many competencies were cut from the AIware K-12 AI competency model's list as the focus groups iteratively refined it?</t>
        </is>
      </c>
      <c r="U101" s="5" t="inlineStr"/>
      <c r="V101" s="5" t="inlineStr"/>
      <c r="W101" s="5" t="inlineStr"/>
      <c r="X101" s="5" t="inlineStr">
        <is>
          <t>pilot</t>
        </is>
      </c>
      <c r="Y101" s="5" t="inlineStr">
        <is>
          <t>be-aiware-an-ai-competency-model-for-k-12:0008:q0</t>
        </is>
      </c>
    </row>
    <row r="102">
      <c r="A102" s="5" t="n">
        <v>101</v>
      </c>
      <c r="B102" s="5" t="b">
        <v>0</v>
      </c>
      <c r="C102" s="6" t="n"/>
      <c r="D102" s="6" t="n"/>
      <c r="E102" s="5" t="n"/>
      <c r="F102" s="5" t="inlineStr">
        <is>
          <t>Why were items such as GANs, algorithm explanation, model training types and heuristic searches removed from the AIware K-12 AI competency model?</t>
        </is>
      </c>
      <c r="G102" s="5" t="inlineStr">
        <is>
          <t>These items were considered too advanced for K-12 learners without specialized preparation. This decision aligns with Blikstein (2018), who cautions against introducing deep computer science topics without sufficient scaffolding.</t>
        </is>
      </c>
      <c r="H102" s="5" t="inlineStr">
        <is>
          <t>Be AIware! An AI Competency Model for K-12 Education, p. 5</t>
        </is>
      </c>
      <c r="I102" s="5" t="inlineStr">
        <is>
          <t>For example, items like GANs, algorithm explanation, model training types, and heuristic searches were considered too advanced for K-12 learners without specialized preparation. This decision aligns with findings from Blikstein (2018), who cautions against introducing deep computer science topics without sufficient scaffolding.</t>
        </is>
      </c>
      <c r="J102" s="5" t="b">
        <v>1</v>
      </c>
      <c r="K102" s="5" t="inlineStr"/>
      <c r="L102" s="5" t="b">
        <v>0</v>
      </c>
      <c r="M102" s="5" t="inlineStr">
        <is>
          <t>explanation</t>
        </is>
      </c>
      <c r="N102" s="5" t="inlineStr">
        <is>
          <t>medium</t>
        </is>
      </c>
      <c r="O102" s="5" t="inlineStr">
        <is>
          <t>teaching_learning</t>
        </is>
      </c>
      <c r="P102" s="5" t="n">
        <v>5</v>
      </c>
      <c r="Q102" s="5" t="b">
        <v>1</v>
      </c>
      <c r="R102" s="5" t="inlineStr">
        <is>
          <t>Both sentences of the answer restate the evidence almost verbatim: the items were too advanced for K-12 learners without specialized preparation, and this aligns with Blikstein (2018). | The question names the specific competency model (AIware K-12) and the items concerned, so it is clear without the source. GANs is a standard technical term in the AI domain.</t>
        </is>
      </c>
      <c r="S102" s="5" t="inlineStr">
        <is>
          <t>What was the reason for excluding GANs, algorithm explanation, model training types and heuristic searches from the AIware K-12 competency model?</t>
        </is>
      </c>
      <c r="T102" s="5" t="inlineStr">
        <is>
          <t>Why did the AIware K-12 model's refinement drop competencies like GANs and heuristic searches?</t>
        </is>
      </c>
      <c r="U102" s="5" t="inlineStr"/>
      <c r="V102" s="5" t="inlineStr"/>
      <c r="W102" s="5" t="inlineStr"/>
      <c r="X102" s="5" t="inlineStr">
        <is>
          <t>pilot</t>
        </is>
      </c>
      <c r="Y102" s="5" t="inlineStr">
        <is>
          <t>be-aiware-an-ai-competency-model-for-k-12:0008:q1</t>
        </is>
      </c>
    </row>
    <row r="103">
      <c r="A103" s="5" t="n">
        <v>102</v>
      </c>
      <c r="B103" s="5" t="b">
        <v>0</v>
      </c>
      <c r="C103" s="6" t="n"/>
      <c r="D103" s="6" t="n"/>
      <c r="E103" s="5" t="n"/>
      <c r="F103" s="5" t="inlineStr">
        <is>
          <t>What does the AIware K-12 AI competency model's design as modular and mappable to existing subjects and educational frameworks relate to, and what did insights from practice confirm about its structure?</t>
        </is>
      </c>
      <c r="G103" s="5" t="inlineStr">
        <is>
          <t>The AIware K-12 AI competency model was designed to be modular and mappable to existing subjects and educational frameworks. Insights from practice also confirmed that a granular structure improves alignment with school-based needs and curricular integration.</t>
        </is>
      </c>
      <c r="H103" s="5" t="inlineStr">
        <is>
          <t>Be AIware! An AI Competency Model for K-12 Education, p. 5</t>
        </is>
      </c>
      <c r="I103" s="5" t="inlineStr">
        <is>
          <t>To address this, the model was designed to be modular and mappable to existing subjects and educational frameworks. … Insights from practice also confirmed that a granular structure improves alignment with school-based needs and curricular integration.</t>
        </is>
      </c>
      <c r="J103" s="5" t="b">
        <v>1</v>
      </c>
      <c r="K103" s="5" t="inlineStr"/>
      <c r="L103" s="5" t="b">
        <v>1</v>
      </c>
      <c r="M103" s="5" t="inlineStr">
        <is>
          <t>explanation</t>
        </is>
      </c>
      <c r="N103" s="5" t="inlineStr">
        <is>
          <t>medium</t>
        </is>
      </c>
      <c r="O103" s="5" t="inlineStr">
        <is>
          <t>teaching_learning</t>
        </is>
      </c>
      <c r="P103" s="5" t="n">
        <v>5</v>
      </c>
      <c r="Q103" s="5" t="b">
        <v>1</v>
      </c>
      <c r="R103" s="5" t="inlineStr">
        <is>
          <t>Both statements, the modular and mappable design and the confirmation that a granular structure improves alignment and curricular integration, are stated directly in the evidence. The answer adds nothing beyond it. | The question names the AIware K-12 AI competency model and does not rely on references to unseen context. Its 'what does ... relate to' phrasing is awkward but still interpretable.</t>
        </is>
      </c>
      <c r="S103" s="5" t="inlineStr">
        <is>
          <t>How was the AIware K-12 AI competency model designed in relation to existing subjects and educational frameworks, and what did practice insights confirm about its structure?</t>
        </is>
      </c>
      <c r="T103" s="5" t="inlineStr">
        <is>
          <t>What design choice links the AIware K-12 AI competency model to existing subjects and educational frameworks, and what did practice confirm about its granular structure?</t>
        </is>
      </c>
      <c r="U103" s="5" t="inlineStr">
        <is>
          <t>Why was the AIware K-12 AI competency model designed to be modular and mappable to existing subjects and educational frameworks?</t>
        </is>
      </c>
      <c r="V103" s="5" t="inlineStr">
        <is>
          <t>The model was designed to be modular and mappable to existing subjects and educational frameworks so that it can be used across different educational scenarios. Insights from practice also confirmed that a granular structure improves alignment with school-based needs and curricular integration.</t>
        </is>
      </c>
      <c r="W103" s="5" t="inlineStr">
        <is>
          <t>grounding(3). The stated purpose, 'so that it can be used across different educational scenarios', does not appear in the evidence. The evidence says only that the design was meant 'to address this', an unstated problem. The second sentence is directly supported. The question names the AIware K-12 AI competency model and asks why it was given its design features, which is understandable without seeing the source.</t>
        </is>
      </c>
      <c r="X103" s="5" t="inlineStr">
        <is>
          <t>pilot</t>
        </is>
      </c>
      <c r="Y103" s="5" t="inlineStr">
        <is>
          <t>be-aiware-an-ai-competency-model-for-k-12:0008:q2</t>
        </is>
      </c>
    </row>
    <row r="104">
      <c r="A104" s="5" t="n">
        <v>103</v>
      </c>
      <c r="B104" s="5" t="b">
        <v>0</v>
      </c>
      <c r="C104" s="6" t="n"/>
      <c r="D104" s="6" t="n"/>
      <c r="E104" s="5" t="n"/>
      <c r="F104" s="5" t="inlineStr">
        <is>
          <t>A school is deciding how to integrate AI ethics into its curriculum and worries about students over-relying on AI tools. What concerns did teachers interviewed for the AIware K-12 AI competency model raise, and what competencies did interviews confirm as important?</t>
        </is>
      </c>
      <c r="G104" s="5" t="inlineStr">
        <is>
          <t>Teachers highlighted the risks of over-reliance on AI tools, the importance of independent thinking, and integrating ethical reasoning into subjects like philosophy and social studies. The interviews confirmed the importance of conceptual and technical understanding, as well as critical reflection and ethical awareness.</t>
        </is>
      </c>
      <c r="H104" s="5" t="inlineStr">
        <is>
          <t>Be AIware! An AI Competency Model for K-12 Education, p. 5</t>
        </is>
      </c>
      <c r="I104" s="5" t="inlineStr">
        <is>
          <t>The interviews confirmed the importance of conceptual and technical understanding, as well as critical reflection and ethical awareness. The AI expert emphasized foundational knowledge such as optimization, algorithmic thinking, and data literacy, while also pointing to the need for interdisciplinary connections … Teachers highlighted classroom-relevant concerns, including the risks of over-reliance on AI tools, the importance of independent thinking, and the integration of ethical reasoning into subjects like philosophy and social studies</t>
        </is>
      </c>
      <c r="J104" s="5" t="b">
        <v>1</v>
      </c>
      <c r="K104" s="5" t="inlineStr"/>
      <c r="L104" s="5" t="b">
        <v>0</v>
      </c>
      <c r="M104" s="5" t="inlineStr">
        <is>
          <t>application</t>
        </is>
      </c>
      <c r="N104" s="5" t="inlineStr">
        <is>
          <t>hard</t>
        </is>
      </c>
      <c r="O104" s="5" t="inlineStr">
        <is>
          <t>student_ai_literacy</t>
        </is>
      </c>
      <c r="P104" s="5" t="n">
        <v>5</v>
      </c>
      <c r="Q104" s="5" t="b">
        <v>1</v>
      </c>
      <c r="R104" s="5" t="inlineStr">
        <is>
          <t>Every statement in the answer is taken directly from the evidence: the teachers' concerns about over-reliance, independent thinking and ethical reasoning in philosophy and social studies, and the confirmed competencies. | The question identifies the source by its content (interviews for the AIware K-12 AI competency model) and does not rely on any unseen context.</t>
        </is>
      </c>
      <c r="S104" s="5" t="inlineStr">
        <is>
          <t>A school wants to embed AI ethics in its curriculum and fears student over-reliance on AI. What classroom concerns did teachers raise in the AIware K-12 interviews, and which competencies were confirmed as important?</t>
        </is>
      </c>
      <c r="T104" s="5" t="inlineStr">
        <is>
          <t>Facing worries about student over-reliance on AI tools while planning AI ethics teaching, what did teachers in the AIware K-12 model interviews highlight, and which competencies did the interviews confirm?</t>
        </is>
      </c>
      <c r="U104" s="5" t="inlineStr"/>
      <c r="V104" s="5" t="inlineStr"/>
      <c r="W104" s="5" t="inlineStr"/>
      <c r="X104" s="5" t="inlineStr">
        <is>
          <t>pilot</t>
        </is>
      </c>
      <c r="Y104" s="5" t="inlineStr">
        <is>
          <t>be-aiware-an-ai-competency-model-for-k-12:0008:q3</t>
        </is>
      </c>
    </row>
    <row r="105">
      <c r="A105" s="5" t="n">
        <v>104</v>
      </c>
      <c r="B105" s="5" t="b">
        <v>0</v>
      </c>
      <c r="C105" s="6" t="n"/>
      <c r="D105" s="6" t="n"/>
      <c r="E105" s="5" t="n"/>
      <c r="F105" s="5" t="inlineStr">
        <is>
          <t>What did the AI expert interviewed for the AIware K-12 AI competency model emphasize as foundational knowledge?</t>
        </is>
      </c>
      <c r="G105" s="5" t="inlineStr">
        <is>
          <t>The AI expert emphasized foundational knowledge such as optimization, algorithmic thinking, and data literacy. The expert also pointed to the need for interdisciplinary connections.</t>
        </is>
      </c>
      <c r="H105" s="5" t="inlineStr">
        <is>
          <t>Be AIware! An AI Competency Model for K-12 Education, p. 5</t>
        </is>
      </c>
      <c r="I105" s="5" t="inlineStr">
        <is>
          <t>The interviews confirmed the importance of conceptual and technical understanding, as well as critical reflection and ethical awareness. The AI expert emphasized foundational knowledge such as optimization, algorithmic thinking, and data literacy, while also pointing to the need for interdisciplinary connections</t>
        </is>
      </c>
      <c r="J105" s="5" t="b">
        <v>1</v>
      </c>
      <c r="K105" s="5" t="inlineStr"/>
      <c r="L105" s="5" t="b">
        <v>0</v>
      </c>
      <c r="M105" s="5" t="inlineStr">
        <is>
          <t>explanation</t>
        </is>
      </c>
      <c r="N105" s="5" t="inlineStr">
        <is>
          <t>medium</t>
        </is>
      </c>
      <c r="O105" s="5" t="inlineStr">
        <is>
          <t>student_ai_literacy</t>
        </is>
      </c>
      <c r="P105" s="5" t="n">
        <v>5</v>
      </c>
      <c r="Q105" s="5" t="b">
        <v>1</v>
      </c>
      <c r="R105" s="5" t="inlineStr">
        <is>
          <t>Both sentences of the answer are taken directly from the evidence: the foundational knowledge (optimization, algorithmic thinking, data literacy) and the need for interdisciplinary connections. | The question names the AIware K-12 AI competency model and the interviewed AI expert, so it is understandable without seeing the source.</t>
        </is>
      </c>
      <c r="S105" s="5" t="inlineStr">
        <is>
          <t>Which foundational knowledge areas did the AI expert in the AIware K-12 model interviews stress?</t>
        </is>
      </c>
      <c r="T105" s="5" t="inlineStr">
        <is>
          <t>In interviews conducted for the AIware K-12 AI competency model, which knowledge did the AI expert stress as foundational?</t>
        </is>
      </c>
      <c r="U105" s="5" t="inlineStr"/>
      <c r="V105" s="5" t="inlineStr"/>
      <c r="W105" s="5" t="inlineStr"/>
      <c r="X105" s="5" t="inlineStr">
        <is>
          <t>pilot</t>
        </is>
      </c>
      <c r="Y105" s="5" t="inlineStr">
        <is>
          <t>be-aiware-an-ai-competency-model-for-k-12:0008:q4</t>
        </is>
      </c>
    </row>
    <row r="106">
      <c r="A106" s="5" t="n">
        <v>105</v>
      </c>
      <c r="B106" s="5" t="b">
        <v>0</v>
      </c>
      <c r="C106" s="6" t="n"/>
      <c r="D106" s="6" t="n"/>
      <c r="E106" s="5" t="n"/>
      <c r="F106" s="5" t="inlineStr">
        <is>
          <t>In the Be AIware! AI competency model for K-12 education, what does the Structured and unstructured data competency involve?</t>
        </is>
      </c>
      <c r="G106" s="5" t="inlineStr">
        <is>
          <t>The Structured and unstructured data competency involves distinguishing between data with well-defined structures and data without a predefined data model.</t>
        </is>
      </c>
      <c r="H106" s="5" t="inlineStr">
        <is>
          <t>Be AIware! An AI Competency Model for K-12 Education, p. 39</t>
        </is>
      </c>
      <c r="I106" s="5" t="inlineStr">
        <is>
          <t>Distinguishing between data with well-defined structures and data without a predefined data model.</t>
        </is>
      </c>
      <c r="J106" s="5" t="b">
        <v>1</v>
      </c>
      <c r="K106" s="5" t="inlineStr"/>
      <c r="L106" s="5" t="b">
        <v>0</v>
      </c>
      <c r="M106" s="5" t="inlineStr">
        <is>
          <t>definition</t>
        </is>
      </c>
      <c r="N106" s="5" t="inlineStr">
        <is>
          <t>easy</t>
        </is>
      </c>
      <c r="O106" s="5" t="inlineStr">
        <is>
          <t>student_ai_literacy</t>
        </is>
      </c>
      <c r="P106" s="5" t="n">
        <v>5</v>
      </c>
      <c r="Q106" s="5" t="b">
        <v>1</v>
      </c>
      <c r="R106" s="5" t="inlineStr">
        <is>
          <t>The answer reproduces the evidence nearly verbatim: distinguishing between data with well-defined structures and data without a predefined data model. | The question names the specific model (Be AIware! for K-12) and the competency, so a reader without the source can understand it.</t>
        </is>
      </c>
      <c r="S106" s="5" t="inlineStr">
        <is>
          <t>What is meant by the Structured and unstructured data competency in the Be AIware! K-12 AI competency model?</t>
        </is>
      </c>
      <c r="T106" s="5" t="inlineStr">
        <is>
          <t>In the K-12 Be AIware! AI competency model, what does a learner do under the Structured and unstructured data competency?</t>
        </is>
      </c>
      <c r="U106" s="5" t="inlineStr"/>
      <c r="V106" s="5" t="inlineStr"/>
      <c r="W106" s="5" t="inlineStr"/>
      <c r="X106" s="5" t="inlineStr">
        <is>
          <t>pilot</t>
        </is>
      </c>
      <c r="Y106" s="5" t="inlineStr">
        <is>
          <t>be-aiware-an-ai-competency-model-for-k-12:0057:q0</t>
        </is>
      </c>
    </row>
    <row r="107">
      <c r="A107" s="5" t="n">
        <v>106</v>
      </c>
      <c r="B107" s="5" t="b">
        <v>0</v>
      </c>
      <c r="C107" s="6" t="n"/>
      <c r="D107" s="6" t="n"/>
      <c r="E107" s="5" t="n"/>
      <c r="F107" s="5" t="inlineStr">
        <is>
          <t>How does the Be AIware! K-12 AI competency model describe the progression of the Big Data knowledge competency, and how does it differ from the progression of the Big Data cloud storage competency?</t>
        </is>
      </c>
      <c r="G107" s="5" t="inlineStr">
        <is>
          <t>The Big Data knowledge competency advances from basic awareness of large datasets to evaluating the challenges and opportunities presented by Big Data. The Big Data cloud storage competency progresses from understanding basic concepts of storing large datasets in cloud environments to applying strategies for managing and optimizing the storage and retrieval of complex data sets in cloud infrastructures.</t>
        </is>
      </c>
      <c r="H107" s="5" t="inlineStr">
        <is>
          <t>Be AIware! An AI Competency Model for K-12 Education, p. 39</t>
        </is>
      </c>
      <c r="I107" s="5" t="inlineStr">
        <is>
          <t>Advances from basic awareness of large datasets to evaluating the challenges and opportunities presented by Big Data. … Progresses from understanding basic concepts of storing large datasets in cloud environments to applying strategies for managing and optimizing the storage and retrieval of complex data sets in cloud infrastructures.</t>
        </is>
      </c>
      <c r="J107" s="5" t="b">
        <v>1</v>
      </c>
      <c r="K107" s="5" t="inlineStr"/>
      <c r="L107" s="5" t="b">
        <v>1</v>
      </c>
      <c r="M107" s="5" t="inlineStr">
        <is>
          <t>explanation</t>
        </is>
      </c>
      <c r="N107" s="5" t="inlineStr">
        <is>
          <t>medium</t>
        </is>
      </c>
      <c r="O107" s="5" t="inlineStr">
        <is>
          <t>student_ai_literacy</t>
        </is>
      </c>
      <c r="P107" s="5" t="n">
        <v>4</v>
      </c>
      <c r="Q107" s="5" t="b">
        <v>1</v>
      </c>
      <c r="R107" s="5" t="inlineStr">
        <is>
          <t>Both progressions are restated essentially verbatim from the evidence. The evidence does not explicitly label which sentence belongs to which competency, but the mapping follows plainly from the content. | The question names the Be AIware! K-12 AI competency model and both specific competencies, so it can be understood without seeing the source.</t>
        </is>
      </c>
      <c r="S107" s="5" t="inlineStr">
        <is>
          <t>In the Be AIware! K-12 AI competency model, how does the Big Data knowledge competency advance, and how does that differ from the Big Data cloud storage competency's progression?</t>
        </is>
      </c>
      <c r="T107" s="5" t="inlineStr">
        <is>
          <t>What development path does the Be AIware! K-12 model give for the Big Data knowledge competency, in contrast to the path for Big Data cloud storage?</t>
        </is>
      </c>
      <c r="U107" s="5" t="inlineStr">
        <is>
          <t>How does the Be AIware! K-12 AI competency model describe the progression of the Big Data knowledge competency, and how does it differ from the progression of the Big Data cloud storage competency?</t>
        </is>
      </c>
      <c r="V107" s="5" t="inlineStr">
        <is>
          <t>The Big Data knowledge competency advances from basic awareness of large datasets to evaluating the challenges and opportunities presented by Big Data. The Big Data cloud storage competency, covering knowledge and skills, progresses from understanding basic concepts of storing large datasets in cloud environments to applying strategies for managing and optimizing the storage and retrieval of complex data sets in cloud infrastructures.</t>
        </is>
      </c>
      <c r="W107" s="5" t="inlineStr">
        <is>
          <t>grounding(3). Both progressions are quoted almost verbatim from the evidence. However, the claim that the cloud storage competency 'covers knowledge and skills' does not appear in the evidence. The question names the specific model (Be AIware! K-12 AI competency model) and both competencies by their content, so it can be understood without seeing the source.</t>
        </is>
      </c>
      <c r="X107" s="5" t="inlineStr">
        <is>
          <t>pilot</t>
        </is>
      </c>
      <c r="Y107" s="5" t="inlineStr">
        <is>
          <t>be-aiware-an-ai-competency-model-for-k-12:0057:q1</t>
        </is>
      </c>
    </row>
    <row r="108">
      <c r="A108" s="5" t="n">
        <v>107</v>
      </c>
      <c r="B108" s="5" t="b">
        <v>0</v>
      </c>
      <c r="C108" s="6" t="n"/>
      <c r="D108" s="6" t="n"/>
      <c r="E108" s="5" t="n"/>
      <c r="F108" s="5" t="inlineStr">
        <is>
          <t>In the Be AIware! AI competency model for K-12 education, how does the Tables skill progress?</t>
        </is>
      </c>
      <c r="G108" s="5" t="inlineStr">
        <is>
          <t>The Tables skill develops from basic data table comprehension to designing and interpreting complex tabular datasets.</t>
        </is>
      </c>
      <c r="H108" s="5" t="inlineStr">
        <is>
          <t>Be AIware! An AI Competency Model for K-12 Education, p. 39</t>
        </is>
      </c>
      <c r="I108" s="5" t="inlineStr">
        <is>
          <t>Develops from basic data table comprehension to designing and interpreting complex tabular datasets.</t>
        </is>
      </c>
      <c r="J108" s="5" t="b">
        <v>1</v>
      </c>
      <c r="K108" s="5" t="inlineStr"/>
      <c r="L108" s="5" t="b">
        <v>0</v>
      </c>
      <c r="M108" s="5" t="inlineStr">
        <is>
          <t>factual</t>
        </is>
      </c>
      <c r="N108" s="5" t="inlineStr">
        <is>
          <t>easy</t>
        </is>
      </c>
      <c r="O108" s="5" t="inlineStr">
        <is>
          <t>student_ai_literacy</t>
        </is>
      </c>
      <c r="P108" s="5" t="n">
        <v>5</v>
      </c>
      <c r="Q108" s="5" t="b">
        <v>1</v>
      </c>
      <c r="R108" s="5" t="inlineStr">
        <is>
          <t>The answer repeats the evidence almost verbatim, describing development from basic data table comprehension to designing and interpreting complex tabular datasets. | The question names the specific competency model (Be AIware!, K-12) and the skill, so it can be understood without the source.</t>
        </is>
      </c>
      <c r="S108" s="5" t="inlineStr">
        <is>
          <t>What progression does the Be AIware! K-12 AI competency model describe for the Tables skill?</t>
        </is>
      </c>
      <c r="T108" s="5" t="inlineStr">
        <is>
          <t>How does the Tables skill develop in the K-12 Be AIware! AI competency model?</t>
        </is>
      </c>
      <c r="U108" s="5" t="inlineStr"/>
      <c r="V108" s="5" t="inlineStr"/>
      <c r="W108" s="5" t="inlineStr"/>
      <c r="X108" s="5" t="inlineStr">
        <is>
          <t>pilot</t>
        </is>
      </c>
      <c r="Y108" s="5" t="inlineStr">
        <is>
          <t>be-aiware-an-ai-competency-model-for-k-12:0057:q2</t>
        </is>
      </c>
    </row>
    <row r="109">
      <c r="A109" s="5" t="n">
        <v>108</v>
      </c>
      <c r="B109" s="5" t="b">
        <v>0</v>
      </c>
      <c r="C109" s="6" t="n"/>
      <c r="D109" s="6" t="n"/>
      <c r="E109" s="5" t="n"/>
      <c r="F109" s="5" t="inlineStr">
        <is>
          <t>In the Be AIware! AI competency model for K-12 education, what does the Visualization of datasets skill involve as it develops?</t>
        </is>
      </c>
      <c r="G109" s="5" t="inlineStr">
        <is>
          <t>The Visualization of datasets skill advances from creating simple visual representations of data to designing and interpreting complex visualizations that enhance understanding and support strategic decision-making.</t>
        </is>
      </c>
      <c r="H109" s="5" t="inlineStr">
        <is>
          <t>Be AIware! An AI Competency Model for K-12 Education, p. 39</t>
        </is>
      </c>
      <c r="I109" s="5" t="inlineStr">
        <is>
          <t>Advances from creating simple visual representations of data to designing and interpreting complex visualizations that enhance understanding and support strategic decision-making.</t>
        </is>
      </c>
      <c r="J109" s="5" t="b">
        <v>1</v>
      </c>
      <c r="K109" s="5" t="inlineStr"/>
      <c r="L109" s="5" t="b">
        <v>0</v>
      </c>
      <c r="M109" s="5" t="inlineStr">
        <is>
          <t>definition</t>
        </is>
      </c>
      <c r="N109" s="5" t="inlineStr">
        <is>
          <t>easy</t>
        </is>
      </c>
      <c r="O109" s="5" t="inlineStr">
        <is>
          <t>student_ai_literacy</t>
        </is>
      </c>
      <c r="P109" s="5" t="n">
        <v>5</v>
      </c>
      <c r="Q109" s="5" t="b">
        <v>1</v>
      </c>
      <c r="R109" s="5" t="inlineStr">
        <is>
          <t>The answer restates the evidence verbatim, so every statement is directly supported. | The question names the specific competency model (Be AIware!, K-12) and the skill it is asking about, and it does not refer to any unseen context.</t>
        </is>
      </c>
      <c r="S109" s="5" t="inlineStr">
        <is>
          <t>How does the Visualization of datasets skill advance in the Be AIware! K-12 AI competency model?</t>
        </is>
      </c>
      <c r="T109" s="5" t="inlineStr">
        <is>
          <t>What progression is described for the Visualization of datasets skill in the K-12 Be AIware! AI competency model?</t>
        </is>
      </c>
      <c r="U109" s="5" t="inlineStr"/>
      <c r="V109" s="5" t="inlineStr"/>
      <c r="W109" s="5" t="inlineStr"/>
      <c r="X109" s="5" t="inlineStr">
        <is>
          <t>pilot</t>
        </is>
      </c>
      <c r="Y109" s="5" t="inlineStr">
        <is>
          <t>be-aiware-an-ai-competency-model-for-k-12:0057:q4</t>
        </is>
      </c>
    </row>
    <row r="110">
      <c r="A110" s="5" t="n">
        <v>109</v>
      </c>
      <c r="B110" s="5" t="b">
        <v>0</v>
      </c>
      <c r="C110" s="6" t="n"/>
      <c r="D110" s="6" t="n"/>
      <c r="E110" s="5" t="n"/>
      <c r="F110" s="5" t="inlineStr">
        <is>
          <t>In the context of cybersecurity threats to universities, what do malware and ransomware attacks involve?</t>
        </is>
      </c>
      <c r="G110" s="5" t="inlineStr">
        <is>
          <t>Attackers infiltrate university networks, encrypt files, and demand ransom payments for the return of critical data. These attacks can cause significant financial and operational disruptions.</t>
        </is>
      </c>
      <c r="H110" s="5" t="inlineStr">
        <is>
          <t>AI and Security in China’s Higher Education, p. 36</t>
        </is>
      </c>
      <c r="I110" s="5" t="inlineStr">
        <is>
          <t>Malware and ransomware attacks are increasingly common, as attackers infiltrate university networks, encrypt files, and demand ransom payments for the return of critical data. These attacks can cause significant financial and operational disruptions.</t>
        </is>
      </c>
      <c r="J110" s="5" t="b">
        <v>1</v>
      </c>
      <c r="K110" s="5" t="inlineStr"/>
      <c r="L110" s="5" t="b">
        <v>0</v>
      </c>
      <c r="M110" s="5" t="inlineStr">
        <is>
          <t>definition</t>
        </is>
      </c>
      <c r="N110" s="5" t="inlineStr">
        <is>
          <t>easy</t>
        </is>
      </c>
      <c r="O110" s="5" t="inlineStr">
        <is>
          <t>privacy_security</t>
        </is>
      </c>
      <c r="P110" s="5" t="n">
        <v>5</v>
      </c>
      <c r="Q110" s="5" t="b">
        <v>1</v>
      </c>
      <c r="R110" s="5" t="inlineStr">
        <is>
          <t>Both sentences restate the evidence nearly verbatim: infiltration, encryption, ransom demands, and financial/operational disruption. | The question names its topic, malware and ransomware attacks on universities, and has no references to unseen context.</t>
        </is>
      </c>
      <c r="S110" s="5" t="inlineStr">
        <is>
          <t>How are malware and ransomware attacks on university networks characterized?</t>
        </is>
      </c>
      <c r="T110" s="5" t="inlineStr">
        <is>
          <t>What happens in a malware or ransomware attack against a university?</t>
        </is>
      </c>
      <c r="U110" s="5" t="inlineStr"/>
      <c r="V110" s="5" t="inlineStr"/>
      <c r="W110" s="5" t="inlineStr"/>
      <c r="X110" s="5" t="inlineStr">
        <is>
          <t>extra:procurement_technology</t>
        </is>
      </c>
      <c r="Y110" s="5" t="inlineStr">
        <is>
          <t>ai-and-security-in-china-s-higher-education:0016:q0</t>
        </is>
      </c>
    </row>
    <row r="111">
      <c r="A111" s="5" t="n">
        <v>110</v>
      </c>
      <c r="B111" s="5" t="b">
        <v>0</v>
      </c>
      <c r="C111" s="6" t="n"/>
      <c r="D111" s="6" t="n"/>
      <c r="E111" s="5" t="n"/>
      <c r="F111" s="5" t="inlineStr">
        <is>
          <t>Which two data protection laws are named as ones that universities should align their data governance with?</t>
        </is>
      </c>
      <c r="G111" s="5" t="inlineStr">
        <is>
          <t>Institutions should align data governance with laws like GDPR and FERPA. This covers secure collection, processing, and storage of data.</t>
        </is>
      </c>
      <c r="H111" s="5" t="inlineStr">
        <is>
          <t>AI and Security in China’s Higher Education, p. 36</t>
        </is>
      </c>
      <c r="I111" s="5" t="inlineStr">
        <is>
          <t>Institutions should align data governance with laws like GDPR and FERPA-covering secure collection, processing, and storage-while educating staff and students on their rights and duties so policies are consistently followed in practice</t>
        </is>
      </c>
      <c r="J111" s="5" t="b">
        <v>1</v>
      </c>
      <c r="K111" s="5" t="inlineStr"/>
      <c r="L111" s="5" t="b">
        <v>0</v>
      </c>
      <c r="M111" s="5" t="inlineStr">
        <is>
          <t>factual</t>
        </is>
      </c>
      <c r="N111" s="5" t="inlineStr">
        <is>
          <t>easy</t>
        </is>
      </c>
      <c r="O111" s="5" t="inlineStr">
        <is>
          <t>governance</t>
        </is>
      </c>
      <c r="P111" s="5" t="n">
        <v>5</v>
      </c>
      <c r="Q111" s="5" t="b">
        <v>1</v>
      </c>
      <c r="R111" s="5" t="inlineStr">
        <is>
          <t>The answer directly restates the evidence: GDPR and FERPA as laws to align with, covering secure collection, processing and storage. | The question clearly asks which two data protection laws universities should align their data governance with. 'Are named' is a mild passive reference to a source, but the question is still understandable without it.</t>
        </is>
      </c>
      <c r="S111" s="5" t="inlineStr">
        <is>
          <t>What two laws are given as examples for universities to align data governance with?</t>
        </is>
      </c>
      <c r="T111" s="5" t="inlineStr">
        <is>
          <t>What are the names of the two data protection laws that universities are advised to make their data governance consistent with?</t>
        </is>
      </c>
      <c r="U111" s="5" t="inlineStr"/>
      <c r="V111" s="5" t="inlineStr"/>
      <c r="W111" s="5" t="inlineStr"/>
      <c r="X111" s="5" t="inlineStr">
        <is>
          <t>extra:procurement_technology</t>
        </is>
      </c>
      <c r="Y111" s="5" t="inlineStr">
        <is>
          <t>ai-and-security-in-china-s-higher-education:0016:q1</t>
        </is>
      </c>
    </row>
    <row r="112">
      <c r="A112" s="5" t="n">
        <v>111</v>
      </c>
      <c r="B112" s="5" t="b">
        <v>0</v>
      </c>
      <c r="C112" s="6" t="n"/>
      <c r="D112" s="6" t="n"/>
      <c r="E112" s="5" t="n"/>
      <c r="F112" s="5" t="inlineStr">
        <is>
          <t>Why does a lack of cybersecurity training among students, faculty, and staff matter for university security?</t>
        </is>
      </c>
      <c r="G112" s="5" t="inlineStr">
        <is>
          <t>A lack of cybersecurity training exacerbates vulnerabilities and makes individuals more susceptible to cyberattacks. Institutions must therefore prioritize ongoing security awareness education to mitigate human error-related risks.</t>
        </is>
      </c>
      <c r="H112" s="5" t="inlineStr">
        <is>
          <t>AI and Security in China’s Higher Education, p. 36</t>
        </is>
      </c>
      <c r="I112" s="5" t="inlineStr">
        <is>
          <t>A lack of cybersecurity training among students, faculty, and staff exacerbates vulnerabilities, making individuals more susceptible to cyberattacks. Institutions must prioritize ongoing security awareness education to mitigate human error-related risks.</t>
        </is>
      </c>
      <c r="J112" s="5" t="b">
        <v>1</v>
      </c>
      <c r="K112" s="5" t="inlineStr"/>
      <c r="L112" s="5" t="b">
        <v>0</v>
      </c>
      <c r="M112" s="5" t="inlineStr">
        <is>
          <t>explanation</t>
        </is>
      </c>
      <c r="N112" s="5" t="inlineStr">
        <is>
          <t>medium</t>
        </is>
      </c>
      <c r="O112" s="5" t="inlineStr">
        <is>
          <t>student_ai_literacy</t>
        </is>
      </c>
      <c r="P112" s="5" t="n">
        <v>5</v>
      </c>
      <c r="Q112" s="5" t="b">
        <v>1</v>
      </c>
      <c r="R112" s="5" t="inlineStr">
        <is>
          <t>Both sentences of the answer closely restate the evidence. Only the connective 'therefore' is added, and it is trivial. | The question is self-contained and refers to no unseen context.</t>
        </is>
      </c>
      <c r="S112" s="5" t="inlineStr">
        <is>
          <t>How does missing cybersecurity training among campus members affect a university's exposure to attacks?</t>
        </is>
      </c>
      <c r="T112" s="5" t="inlineStr">
        <is>
          <t>How does it affect university security when students, faculty, and staff have not received cybersecurity training?</t>
        </is>
      </c>
      <c r="U112" s="5" t="inlineStr"/>
      <c r="V112" s="5" t="inlineStr"/>
      <c r="W112" s="5" t="inlineStr"/>
      <c r="X112" s="5" t="inlineStr">
        <is>
          <t>extra:procurement_technology</t>
        </is>
      </c>
      <c r="Y112" s="5" t="inlineStr">
        <is>
          <t>ai-and-security-in-china-s-higher-education:0016:q2</t>
        </is>
      </c>
    </row>
    <row r="113">
      <c r="A113" s="5" t="n">
        <v>112</v>
      </c>
      <c r="B113" s="5" t="b">
        <v>0</v>
      </c>
      <c r="C113" s="6" t="n"/>
      <c r="D113" s="6" t="n"/>
      <c r="E113" s="5" t="n"/>
      <c r="F113" s="5" t="inlineStr">
        <is>
          <t>How can poorly managed cloud services create risks for a university, and what must institutions ensure to mitigate them?</t>
        </is>
      </c>
      <c r="G113" s="5" t="inlineStr">
        <is>
          <t>Poorly managed cloud services with weak access controls and configuration errors can lead to data leaks. Institutions must ensure that cloud service providers comply with security protocols to mitigate these risks.</t>
        </is>
      </c>
      <c r="H113" s="5" t="inlineStr">
        <is>
          <t>AI and Security in China’s Higher Education, p. 36</t>
        </is>
      </c>
      <c r="I113" s="5" t="inlineStr">
        <is>
          <t>Poorly managed cloud services with weak access controls and configuration errors can lead to data leaks. Institutions must ensure that cloud service providers comply with security protocols to mitigate these risks.</t>
        </is>
      </c>
      <c r="J113" s="5" t="b">
        <v>1</v>
      </c>
      <c r="K113" s="5" t="inlineStr"/>
      <c r="L113" s="5" t="b">
        <v>0</v>
      </c>
      <c r="M113" s="5" t="inlineStr">
        <is>
          <t>explanation</t>
        </is>
      </c>
      <c r="N113" s="5" t="inlineStr">
        <is>
          <t>medium</t>
        </is>
      </c>
      <c r="O113" s="5" t="inlineStr">
        <is>
          <t>procurement_technology</t>
        </is>
      </c>
      <c r="P113" s="5" t="n">
        <v>5</v>
      </c>
      <c r="Q113" s="5" t="b">
        <v>1</v>
      </c>
      <c r="R113" s="5" t="inlineStr">
        <is>
          <t>The answer reproduces the evidence verbatim, so every statement is directly supported. | The question is self-contained and makes no reference to unseen context.</t>
        </is>
      </c>
      <c r="S113" s="5" t="inlineStr">
        <is>
          <t>What risk comes from poorly managed cloud services at universities, and what should institutions require of providers?</t>
        </is>
      </c>
      <c r="T113" s="5" t="inlineStr">
        <is>
          <t>In what ways can a university be exposed to risk when its cloud services are not managed well, and what do institutions need to make sure of in order to reduce those risks?</t>
        </is>
      </c>
      <c r="U113" s="5" t="inlineStr"/>
      <c r="V113" s="5" t="inlineStr"/>
      <c r="W113" s="5" t="inlineStr"/>
      <c r="X113" s="5" t="inlineStr">
        <is>
          <t>extra:procurement_technology</t>
        </is>
      </c>
      <c r="Y113" s="5" t="inlineStr">
        <is>
          <t>ai-and-security-in-china-s-higher-education:0016:q3</t>
        </is>
      </c>
    </row>
    <row r="114">
      <c r="A114" s="5" t="n">
        <v>113</v>
      </c>
      <c r="B114" s="5" t="b">
        <v>0</v>
      </c>
      <c r="C114" s="6" t="n"/>
      <c r="D114" s="6" t="n"/>
      <c r="E114" s="5" t="n"/>
      <c r="F114" s="5" t="inlineStr">
        <is>
          <t>In research on AI-based automated grading, what is meant by the 'leniency' tendency, and what unresolved question surrounds its cause?</t>
        </is>
      </c>
      <c r="G114" s="5" t="inlineStr">
        <is>
          <t>Multiple studies document a consistent tendency toward leniency, in which AI systems assign higher marks and under-penalize weak submissions. Prior research often fails to differentiate whether this leniency represents an inherent model bias, a reflection of training data distributions, or limitations of rubric application.</t>
        </is>
      </c>
      <c r="H114" s="5" t="inlineStr">
        <is>
          <t>Reliable but not rigorous: Evaluating ChatGPT's reliability, validity, and bias in automated academic grading, p. 2</t>
        </is>
      </c>
      <c r="I114" s="5" t="inlineStr">
        <is>
          <t>Multiple studies document a consistent tendency toward leniency, wherein AI systems assign higher marks and under-penalize weak submissions (Jukiewicz, 2024; Crosthwaite &amp; Ma, 2025). … Importantly, prior research often fails to differentiate whether this leniency represents an inherent model bias, a reflection of training data distributions, or limitations of rubric application (Lalor et al., 2024).</t>
        </is>
      </c>
      <c r="J114" s="5" t="b">
        <v>1</v>
      </c>
      <c r="K114" s="5" t="inlineStr"/>
      <c r="L114" s="5" t="b">
        <v>0</v>
      </c>
      <c r="M114" s="5" t="inlineStr">
        <is>
          <t>definition</t>
        </is>
      </c>
      <c r="N114" s="5" t="inlineStr">
        <is>
          <t>medium</t>
        </is>
      </c>
      <c r="O114" s="5" t="inlineStr">
        <is>
          <t>assessment</t>
        </is>
      </c>
      <c r="P114" s="5" t="n">
        <v>5</v>
      </c>
      <c r="Q114" s="5" t="b">
        <v>1</v>
      </c>
      <c r="R114" s="5" t="inlineStr">
        <is>
          <t>Both sentences of the answer restate the evidence nearly verbatim: the definition of leniency and the three candidate causes that prior research fails to tell apart. | The question names its topic, AI-based automated grading, and refers to no unseen text, study or author.</t>
        </is>
      </c>
      <c r="S114" s="5" t="inlineStr">
        <is>
          <t>What does the leniency tendency in AI grading systems refer to, and what remains unclear about where it comes from?</t>
        </is>
      </c>
      <c r="T114" s="5" t="inlineStr">
        <is>
          <t>How is leniency in AI-based grading characterized, and which question about its origin has prior research often failed to settle?</t>
        </is>
      </c>
      <c r="U114" s="5" t="inlineStr"/>
      <c r="V114" s="5" t="inlineStr"/>
      <c r="W114" s="5" t="inlineStr"/>
      <c r="X114" s="5" t="inlineStr">
        <is>
          <t>extra:assessment</t>
        </is>
      </c>
      <c r="Y114" s="5" t="inlineStr">
        <is>
          <t>reliable-but-not-rigorous-evaluating-chatgpt-s:0002:q0</t>
        </is>
      </c>
    </row>
    <row r="115">
      <c r="A115" s="5" t="n">
        <v>114</v>
      </c>
      <c r="B115" s="5" t="b">
        <v>0</v>
      </c>
      <c r="C115" s="6" t="n"/>
      <c r="D115" s="6" t="n"/>
      <c r="E115" s="5" t="n"/>
      <c r="F115" s="5" t="inlineStr">
        <is>
          <t>How can AI-generated feedback benefit students' learning, according to meta-analyses and work on ChatGPT-like tools?</t>
        </is>
      </c>
      <c r="G115" s="5" t="inlineStr">
        <is>
          <t>Meta-analyses suggest AI-generated feedback can enhance metacognitive reflection and positive learning experiences. Tools integrating ChatGPT-like models are also linked to increased student engagement due to adaptive and immediate feedback.</t>
        </is>
      </c>
      <c r="H115" s="5" t="inlineStr">
        <is>
          <t>Reliable but not rigorous: Evaluating ChatGPT's reliability, validity, and bias in automated academic grading, p. 2</t>
        </is>
      </c>
      <c r="I115" s="5" t="inlineStr">
        <is>
          <t>Meta-analyses suggest AI-generated feedback can enhance metacognitive reflection and positive learning experiences (Saini et al., 2024). Tools integrating ChatGPT-like models are also linked to increased student engagement due to adaptive and immediate feedback (Kovari, 2025).</t>
        </is>
      </c>
      <c r="J115" s="5" t="b">
        <v>1</v>
      </c>
      <c r="K115" s="5" t="inlineStr"/>
      <c r="L115" s="5" t="b">
        <v>0</v>
      </c>
      <c r="M115" s="5" t="inlineStr">
        <is>
          <t>explanation</t>
        </is>
      </c>
      <c r="N115" s="5" t="inlineStr">
        <is>
          <t>medium</t>
        </is>
      </c>
      <c r="O115" s="5" t="inlineStr">
        <is>
          <t>teaching_learning</t>
        </is>
      </c>
      <c r="P115" s="5" t="n">
        <v>5</v>
      </c>
      <c r="Q115" s="5" t="b">
        <v>1</v>
      </c>
      <c r="R115" s="5" t="inlineStr">
        <is>
          <t>The answer reproduces the evidence nearly verbatim and adds no unsupported claims. | The question clearly asks about the learning benefits of AI-generated feedback as reported by meta-analyses and work on ChatGPT-like tools, without referring to unseen context.</t>
        </is>
      </c>
      <c r="S115" s="5" t="inlineStr">
        <is>
          <t>What benefits for student learning are linked to AI-generated feedback and tools built on ChatGPT-like models?</t>
        </is>
      </c>
      <c r="T115" s="5" t="inlineStr">
        <is>
          <t>According to meta-analyses and research on ChatGPT-like tools, in what ways can feedback generated by AI help students learn?</t>
        </is>
      </c>
      <c r="U115" s="5" t="inlineStr"/>
      <c r="V115" s="5" t="inlineStr"/>
      <c r="W115" s="5" t="inlineStr"/>
      <c r="X115" s="5" t="inlineStr">
        <is>
          <t>extra:assessment</t>
        </is>
      </c>
      <c r="Y115" s="5" t="inlineStr">
        <is>
          <t>reliable-but-not-rigorous-evaluating-chatgpt-s:0002:q2</t>
        </is>
      </c>
    </row>
    <row r="116">
      <c r="A116" s="5" t="n">
        <v>115</v>
      </c>
      <c r="B116" s="5" t="b">
        <v>0</v>
      </c>
      <c r="C116" s="6" t="n"/>
      <c r="D116" s="6" t="n"/>
      <c r="E116" s="5" t="n"/>
      <c r="F116" s="5" t="inlineStr">
        <is>
          <t>What practical advantages for instructors have been attributed to AI-based grading systems, and what wider range of educational uses of large language models has been identified?</t>
        </is>
      </c>
      <c r="G116" s="5" t="inlineStr">
        <is>
          <t>AI-based systems can reduce instructor workload, improve scoring consistency, and provide faster feedback. Foundational studies have identified over fifty educational applications of LLMs, including automated grading, feedback generation, content creation, and question detection.</t>
        </is>
      </c>
      <c r="H116" s="5" t="inlineStr">
        <is>
          <t>Reliable but not rigorous: Evaluating ChatGPT's reliability, validity, and bias in automated academic grading, p. 2</t>
        </is>
      </c>
      <c r="I116" s="5" t="inlineStr">
        <is>
          <t>AI-based systems can reduce instructor workload, improve scoring consistency, and provide faster feedback (Seneviratne &amp; Manathunga, 2025). … Foundational studies have identified over fifty educational applications of LLMs, including automated grading, feedback generation, content creation, and question detection (Meyer et al., 2024).</t>
        </is>
      </c>
      <c r="J116" s="5" t="b">
        <v>1</v>
      </c>
      <c r="K116" s="5" t="inlineStr"/>
      <c r="L116" s="5" t="b">
        <v>0</v>
      </c>
      <c r="M116" s="5" t="inlineStr">
        <is>
          <t>explanation</t>
        </is>
      </c>
      <c r="N116" s="5" t="inlineStr">
        <is>
          <t>medium</t>
        </is>
      </c>
      <c r="O116" s="5" t="inlineStr">
        <is>
          <t>assessment</t>
        </is>
      </c>
      <c r="P116" s="5" t="n">
        <v>5</v>
      </c>
      <c r="Q116" s="5" t="b">
        <v>1</v>
      </c>
      <c r="R116" s="5" t="inlineStr">
        <is>
          <t>Every statement in the answer is taken nearly verbatim from the evidence: the workload, consistency and feedback benefits, and the over fifty LLM applications with the listed examples. | The question spells out 'large language models' and does not refer to any unseen source, so it is clear without context.</t>
        </is>
      </c>
      <c r="S116" s="5" t="inlineStr">
        <is>
          <t>What teacher-side benefits have been credited to AI-powered grading systems, and what broader set of educational uses for large language models has been identified?</t>
        </is>
      </c>
      <c r="T116" s="5" t="inlineStr">
        <is>
          <t>In what practical ways are AI-based grading systems said to help instructors, and what wider variety of educational uses of large language models has been recognized?</t>
        </is>
      </c>
      <c r="U116" s="5" t="inlineStr"/>
      <c r="V116" s="5" t="inlineStr"/>
      <c r="W116" s="5" t="inlineStr"/>
      <c r="X116" s="5" t="inlineStr">
        <is>
          <t>extra:assessment</t>
        </is>
      </c>
      <c r="Y116" s="5" t="inlineStr">
        <is>
          <t>reliable-but-not-rigorous-evaluating-chatgpt-s:0002:q3</t>
        </is>
      </c>
    </row>
    <row r="117">
      <c r="A117" s="5" t="n">
        <v>116</v>
      </c>
      <c r="B117" s="5" t="b">
        <v>0</v>
      </c>
      <c r="C117" s="6" t="n"/>
      <c r="D117" s="6" t="n"/>
      <c r="E117" s="5" t="n"/>
      <c r="F117" s="5" t="inlineStr">
        <is>
          <t>A business school lecturer is designing the strategy-focused assessment for an AI in business module. What should students be required to cover on implementation planning and on risks?</t>
        </is>
      </c>
      <c r="G117" s="5" t="inlineStr">
        <is>
          <t>Students submit a 2000-word report outlining a business function where AI could generate a competitive advantage, and develop a comprehensive implementation plan. The plan addresses AI deployment strategies, integration into existing business processes, and cloud-based versus on-premise solutions. Students also discuss potential risks, including AI security, ethical concerns and regulatory compliance, and propose strategies for effective risk mitigation.</t>
        </is>
      </c>
      <c r="H117" s="5" t="inlineStr">
        <is>
          <t>The formation of AI Capital in higher education: Enhancing students’ academic performance and employment rates, p. 7</t>
        </is>
      </c>
      <c r="I117" s="5" t="inlineStr">
        <is>
          <t>This assessment required students to submit a 2000-word report outlining a business function where AI could generate a competitive advantage (LO32) and to develop a comprehensive AI implementation plan. Their proposal needed to address AI deployment strategies (LO28), integration into existing business processes (LO36), and deployment considerations, such as cloud-based versus on-premise solutions (LO11, LO12). … In addition, students were expected to discuss potential risks, including AI security, ethical concerns, and regulatory compliance (LO17, LO18, LO38, LO39), and propose strategies for effective risk mitigation.</t>
        </is>
      </c>
      <c r="J117" s="5" t="b">
        <v>1</v>
      </c>
      <c r="K117" s="5" t="inlineStr"/>
      <c r="L117" s="5" t="b">
        <v>0</v>
      </c>
      <c r="M117" s="5" t="inlineStr">
        <is>
          <t>application</t>
        </is>
      </c>
      <c r="N117" s="5" t="inlineStr">
        <is>
          <t>hard</t>
        </is>
      </c>
      <c r="O117" s="5" t="inlineStr">
        <is>
          <t>teaching_learning</t>
        </is>
      </c>
      <c r="P117" s="5" t="n">
        <v>5</v>
      </c>
      <c r="Q117" s="5" t="b">
        <v>1</v>
      </c>
      <c r="R117" s="5" t="inlineStr">
        <is>
          <t>Every element of the answer matches the evidence: the 2000-word report, the competitive-advantage function, the implementation plan with deployment strategies, integration and cloud versus on-premise, and the risks and mitigation strategies. Tense shifts are trivial. | The question describes the scenario on its own terms and does not refer to unseen context.</t>
        </is>
      </c>
      <c r="S117" s="5" t="inlineStr">
        <is>
          <t>If a lecturer is building the strategy proposal assignment for a business module on AI, which implementation and risk topics should students have to address?</t>
        </is>
      </c>
      <c r="T117" s="5" t="inlineStr">
        <is>
          <t>What implementation-planning and risk elements should a university lecturer require in an AI strategy and implementation proposal for business students?</t>
        </is>
      </c>
      <c r="U117" s="5" t="inlineStr"/>
      <c r="V117" s="5" t="inlineStr"/>
      <c r="W117" s="5" t="inlineStr"/>
      <c r="X117" s="5" t="inlineStr">
        <is>
          <t>extra:leadership_strategy</t>
        </is>
      </c>
      <c r="Y117" s="5" t="inlineStr">
        <is>
          <t>the-formation-of-ai-capital-in-higher-education:0012:q0</t>
        </is>
      </c>
    </row>
    <row r="118">
      <c r="A118" s="5" t="n">
        <v>117</v>
      </c>
      <c r="B118" s="5" t="b">
        <v>0</v>
      </c>
      <c r="C118" s="6" t="n"/>
      <c r="D118" s="6" t="n"/>
      <c r="E118" s="5" t="n"/>
      <c r="F118" s="5" t="inlineStr">
        <is>
          <t>Why does the AI model development and business application report in the AI in Business Environments module require students to discuss ethical implications and propose transparency and fairness strategies?</t>
        </is>
      </c>
      <c r="G118" s="5" t="inlineStr">
        <is>
          <t>The report required students to interpret AI-driven insights, discuss the ethical implications of AI applications, and propose strategies to enhance model transparency and fairness. These themes reflected the module's emphasis on ethical and responsible AI.</t>
        </is>
      </c>
      <c r="H118" s="5" t="inlineStr">
        <is>
          <t>The formation of AI Capital in higher education: Enhancing students’ academic performance and employment rates, p. 7</t>
        </is>
      </c>
      <c r="I118" s="5" t="inlineStr">
        <is>
          <t>The report required students to interpret AI-driven insights (LO9, LO29), discuss the ethical implications of AI applications (LO13, LO14, LO15, LO16), and propose strategies to enhance model transparency and fairness (LO20). These themes reflected the module's emphasis on ethical and responsible AI.</t>
        </is>
      </c>
      <c r="J118" s="5" t="b">
        <v>1</v>
      </c>
      <c r="K118" s="5" t="inlineStr"/>
      <c r="L118" s="5" t="b">
        <v>0</v>
      </c>
      <c r="M118" s="5" t="inlineStr">
        <is>
          <t>explanation</t>
        </is>
      </c>
      <c r="N118" s="5" t="inlineStr">
        <is>
          <t>medium</t>
        </is>
      </c>
      <c r="O118" s="5" t="inlineStr">
        <is>
          <t>assessment</t>
        </is>
      </c>
      <c r="P118" s="5" t="n">
        <v>5</v>
      </c>
      <c r="Q118" s="5" t="b">
        <v>1</v>
      </c>
      <c r="R118" s="5" t="inlineStr">
        <is>
          <t>Both sentences of the answer are restated almost verbatim from the evidence, with only the learning-outcome codes omitted. | The question names the specific module and report by their content and does not rely on unseen context.</t>
        </is>
      </c>
      <c r="S118" s="5" t="inlineStr">
        <is>
          <t>What is the reason the model development report in the AI in Business Environments module asks students to address ethical implications and transparency and fairness strategies?</t>
        </is>
      </c>
      <c r="T118" s="5" t="inlineStr">
        <is>
          <t>Why are students in the AI in Business Environments module's model development report asked to discuss AI ethics and suggest ways to improve transparency and fairness?</t>
        </is>
      </c>
      <c r="U118" s="5" t="inlineStr"/>
      <c r="V118" s="5" t="inlineStr"/>
      <c r="W118" s="5" t="inlineStr"/>
      <c r="X118" s="5" t="inlineStr">
        <is>
          <t>extra:leadership_strategy</t>
        </is>
      </c>
      <c r="Y118" s="5" t="inlineStr">
        <is>
          <t>the-formation-of-ai-capital-in-higher-education:0012:q1</t>
        </is>
      </c>
    </row>
    <row r="119">
      <c r="A119" s="5" t="n">
        <v>118</v>
      </c>
      <c r="B119" s="5" t="b">
        <v>0</v>
      </c>
      <c r="C119" s="6" t="n"/>
      <c r="D119" s="6" t="n"/>
      <c r="E119" s="5" t="n"/>
      <c r="F119" s="5" t="inlineStr">
        <is>
          <t>How is AI Capital defined in the context of the AI in Business Environments module assessment?</t>
        </is>
      </c>
      <c r="G119" s="5" t="inlineStr">
        <is>
          <t>AI Capital is the combined technical proficiency and strategic insight required for responsible, value-driven AI deployment in contemporary businesses. The assessment was designed to enable students to demonstrate it.</t>
        </is>
      </c>
      <c r="H119" s="5" t="inlineStr">
        <is>
          <t>The formation of AI Capital in higher education: Enhancing students’ academic performance and employment rates, p. 8</t>
        </is>
      </c>
      <c r="I119" s="5" t="inlineStr">
        <is>
          <t>Ultimately, this assessment was designed to enable students to demonstrate their AI Capital, that is, the combined technical proficiency and strategic insight required for responsible, value-driven AI deployment in contemporary businesses.</t>
        </is>
      </c>
      <c r="J119" s="5" t="b">
        <v>1</v>
      </c>
      <c r="K119" s="5" t="inlineStr"/>
      <c r="L119" s="5" t="b">
        <v>0</v>
      </c>
      <c r="M119" s="5" t="inlineStr">
        <is>
          <t>definition</t>
        </is>
      </c>
      <c r="N119" s="5" t="inlineStr">
        <is>
          <t>easy</t>
        </is>
      </c>
      <c r="O119" s="5" t="inlineStr">
        <is>
          <t>student_ai_literacy</t>
        </is>
      </c>
      <c r="P119" s="5" t="n">
        <v>5</v>
      </c>
      <c r="Q119" s="5" t="b">
        <v>1</v>
      </c>
      <c r="R119" s="5" t="inlineStr">
        <is>
          <t>Both the definition of AI Capital and the statement that the assessment was designed to let students demonstrate it are stated directly in the evidence. | The question names the specific module (AI in Business Environments) and the concept (AI Capital), so it is understandable without seeing the source.</t>
        </is>
      </c>
      <c r="S119" s="5" t="inlineStr">
        <is>
          <t>What does AI Capital mean in the AI in Business Environments module's assessment?</t>
        </is>
      </c>
      <c r="T119" s="5" t="inlineStr">
        <is>
          <t>In the AI in Business Environments module, what is meant by AI Capital?</t>
        </is>
      </c>
      <c r="U119" s="5" t="inlineStr"/>
      <c r="V119" s="5" t="inlineStr"/>
      <c r="W119" s="5" t="inlineStr"/>
      <c r="X119" s="5" t="inlineStr">
        <is>
          <t>extra:leadership_strategy</t>
        </is>
      </c>
      <c r="Y119" s="5" t="inlineStr">
        <is>
          <t>the-formation-of-ai-capital-in-higher-education:0012:q2</t>
        </is>
      </c>
    </row>
    <row r="120">
      <c r="A120" s="5" t="n">
        <v>119</v>
      </c>
      <c r="B120" s="5" t="b">
        <v>0</v>
      </c>
      <c r="C120" s="6" t="n"/>
      <c r="D120" s="6" t="n"/>
      <c r="E120" s="5" t="n"/>
      <c r="F120" s="5" t="inlineStr">
        <is>
          <t>Which performance metrics were students expected to use when evaluating their AI models in the model development report of the AI in Business Environments module?</t>
        </is>
      </c>
      <c r="G120" s="5" t="inlineStr">
        <is>
          <t>Students were expected to evaluate their model's performance using suitable metrics, such as accuracy, precision, recall or F1 score, as appropriate to the task.</t>
        </is>
      </c>
      <c r="H120" s="5" t="inlineStr">
        <is>
          <t>The formation of AI Capital in higher education: Enhancing students’ academic performance and employment rates, p. 7</t>
        </is>
      </c>
      <c r="I120" s="5" t="inlineStr">
        <is>
          <t>They were expected to prepare and clean a dataset (LO22), apply appropriate AI techniques, such as regression analysis, classification, clustering, or reinforcement learning, based on the nature of the selected business case (LO7, LO23, LO25), and evaluate their model's performance using suitable metrics (e.g. accuracy, precision, recall, or F1 score), as appropriate to the task (LO10, LO26).</t>
        </is>
      </c>
      <c r="J120" s="5" t="b">
        <v>1</v>
      </c>
      <c r="K120" s="5" t="inlineStr"/>
      <c r="L120" s="5" t="b">
        <v>0</v>
      </c>
      <c r="M120" s="5" t="inlineStr">
        <is>
          <t>factual</t>
        </is>
      </c>
      <c r="N120" s="5" t="inlineStr">
        <is>
          <t>easy</t>
        </is>
      </c>
      <c r="O120" s="5" t="inlineStr">
        <is>
          <t>assessment</t>
        </is>
      </c>
      <c r="P120" s="5" t="n">
        <v>5</v>
      </c>
      <c r="Q120" s="5" t="b">
        <v>1</v>
      </c>
      <c r="R120" s="5" t="inlineStr">
        <is>
          <t>The answer restates the evidence almost word for word: suitable metrics such as accuracy, precision, recall or F1 score, as appropriate to the task. | The question names the module (AI in Business Environments) and the assignment (model development report), so it is understandable without seeing the source.</t>
        </is>
      </c>
      <c r="S120" s="5" t="inlineStr">
        <is>
          <t>In the AI in Business Environments module's model development report, what metrics could students use to evaluate model performance?</t>
        </is>
      </c>
      <c r="T120" s="5" t="inlineStr">
        <is>
          <t>In the AI in Business Environments module, which performance metrics did students have to use to evaluate their AI models in the model development report?</t>
        </is>
      </c>
      <c r="U120" s="5" t="inlineStr"/>
      <c r="V120" s="5" t="inlineStr"/>
      <c r="W120" s="5" t="inlineStr"/>
      <c r="X120" s="5" t="inlineStr">
        <is>
          <t>extra:leadership_strategy</t>
        </is>
      </c>
      <c r="Y120" s="5" t="inlineStr">
        <is>
          <t>the-formation-of-ai-capital-in-higher-education:0012:q4</t>
        </is>
      </c>
    </row>
    <row r="121">
      <c r="A121" s="5" t="n">
        <v>120</v>
      </c>
      <c r="B121" s="5" t="b">
        <v>0</v>
      </c>
      <c r="C121" s="6" t="n"/>
      <c r="D121" s="6" t="n"/>
      <c r="E121" s="5" t="n"/>
      <c r="F121" s="5" t="inlineStr">
        <is>
          <t>What minimum level of proficiency in technical AI application should university teachers have?</t>
        </is>
      </c>
      <c r="G121" s="5" t="inlineStr">
        <is>
          <t>University teachers should possess at least a medium level of proficiency in technical AI application. This allows them to better understand and interact with AI technologies for teaching, learning, and research.</t>
        </is>
      </c>
      <c r="H121" s="5" t="inlineStr">
        <is>
          <t>Generative AI in Higher Education: The ChatGPT Effect, p. 62</t>
        </is>
      </c>
      <c r="I121" s="5" t="inlineStr">
        <is>
          <t>University teachers should possess at least a
36 AI Literacy
medium level of proficiency in technical AI application, allowing them to better understand and interact with AI technologies for teaching, learning, and research.</t>
        </is>
      </c>
      <c r="J121" s="5" t="b">
        <v>1</v>
      </c>
      <c r="K121" s="5" t="inlineStr"/>
      <c r="L121" s="5" t="b">
        <v>0</v>
      </c>
      <c r="M121" s="5" t="inlineStr">
        <is>
          <t>factual</t>
        </is>
      </c>
      <c r="N121" s="5" t="inlineStr">
        <is>
          <t>easy</t>
        </is>
      </c>
      <c r="O121" s="5" t="inlineStr">
        <is>
          <t>faculty_readiness</t>
        </is>
      </c>
      <c r="P121" s="5" t="n">
        <v>5</v>
      </c>
      <c r="Q121" s="5" t="b">
        <v>1</v>
      </c>
      <c r="R121" s="5" t="inlineStr">
        <is>
          <t>Both statements are taken directly from the evidence: the 'at least a medium level' requirement and its purpose of better understanding and interacting with AI for teaching, learning, and research. | The question is self-contained. It asks about the minimum proficiency university teachers should have in technical AI application, with no references to unseen context.</t>
        </is>
      </c>
      <c r="S121" s="5" t="inlineStr">
        <is>
          <t>At least what level of technical AI application proficiency is expected of university teachers?</t>
        </is>
      </c>
      <c r="T121" s="5" t="inlineStr">
        <is>
          <t>What is the lowest level of proficiency in applying AI technically that university teachers should possess?</t>
        </is>
      </c>
      <c r="U121" s="5" t="inlineStr"/>
      <c r="V121" s="5" t="inlineStr"/>
      <c r="W121" s="5" t="inlineStr"/>
      <c r="X121" s="5" t="inlineStr">
        <is>
          <t>extra:faculty_readiness</t>
        </is>
      </c>
      <c r="Y121" s="5" t="inlineStr">
        <is>
          <t>cecilia-ka-yuk-chan-2024-generative-ai-in:0035:q1</t>
        </is>
      </c>
    </row>
    <row r="122">
      <c r="A122" s="5" t="n">
        <v>121</v>
      </c>
      <c r="B122" s="5" t="b">
        <v>0</v>
      </c>
      <c r="C122" s="6" t="n"/>
      <c r="D122" s="6" t="n"/>
      <c r="E122" s="5" t="n"/>
      <c r="F122" s="5" t="inlineStr">
        <is>
          <t>A university has given all staff and students foundational AI literacy covering AI concepts, applications, safety and security, and responsible usage. Why does AI literacy for university teachers need to be extended further, and what seven additional literacy aspects does the DAILM model (a model of AI literacy for university teachers) expect for them?</t>
        </is>
      </c>
      <c r="G122" s="5" t="inlineStr">
        <is>
          <t>AI literacy for teachers needs a further extension, given teachers' influential role in shaping both educational experiences and ethical AI discourse. Based on the DAILM model, the additional literacy aspects expected for university teachers are: (1) Pedagogical Innovation; (2) Ethical, Social, and Policy Awareness; (3) AI for Social Good; (4) Career and Industry Alignment; (5) Continuous Professional Development; (6) Research and Scholarly Engagement; and (7) Responsible AI Usage and Development.</t>
        </is>
      </c>
      <c r="H122" s="5" t="inlineStr">
        <is>
          <t>Generative AI in Higher Education: The ChatGPT Effect, pp. 62-63</t>
        </is>
      </c>
      <c r="I122" s="5" t="inlineStr">
        <is>
          <t>a foundational literacy in AI - covering the key areas of AI concepts, applications, affectiveness for human emotions, safety and security, and responsible usage - is vital for all individuals. … In addition, a further extension of AI literacy needs to be detailed, given teachers' influential role in shaping both educational experiences and ethical AI discourse. … Based on the DAILM model, the additional literacy aspects for university teacher are expected to be: (1) Pedagogical Innovation; (2) Ethical, Social, and Policy Awareness; (3) AI for Social Good; (4) Career and Industry Alignment; (5) Continuous Professional Development; (6) Research and Scholarly Engagement; and (7) Responsible AI Usage and Development.</t>
        </is>
      </c>
      <c r="J122" s="5" t="b">
        <v>1</v>
      </c>
      <c r="K122" s="5" t="inlineStr"/>
      <c r="L122" s="5" t="b">
        <v>1</v>
      </c>
      <c r="M122" s="5" t="inlineStr">
        <is>
          <t>application</t>
        </is>
      </c>
      <c r="N122" s="5" t="inlineStr">
        <is>
          <t>hard</t>
        </is>
      </c>
      <c r="O122" s="5" t="inlineStr">
        <is>
          <t>faculty_readiness</t>
        </is>
      </c>
      <c r="P122" s="5" t="n">
        <v>5</v>
      </c>
      <c r="Q122" s="5" t="b">
        <v>1</v>
      </c>
      <c r="R122" s="5" t="inlineStr">
        <is>
          <t>The answer restates the evidence directly: it gives the reason for the extension (teachers' influential role in educational experiences and ethical AI discourse) and lists all seven DAILM aspects verbatim. | The question sets up the scenario, defines the DAILM model by its content, and does not refer to any unseen text. Its foundational list leaves out 'affectiveness for human emotions', but that does not affect what is being asked.</t>
        </is>
      </c>
      <c r="S122" s="5" t="inlineStr">
        <is>
          <t>After providing everyone with foundational AI literacy, why should a university extend AI literacy for its teachers, and which seven extra aspects does the DAILM model of teacher AI literacy expect?</t>
        </is>
      </c>
      <c r="T122" s="5" t="inlineStr">
        <is>
          <t>A university has already covered foundational AI literacy for all. According to the DAILM model of AI literacy for university teachers, why must teachers' literacy go further, and what seven additional aspects are expected?</t>
        </is>
      </c>
      <c r="U122" s="5" t="inlineStr">
        <is>
          <t>A university's faculty development office has trained all staff and students in basic AI concepts, applications, safety and security, and responsible usage. Why might it still need to go further for teachers, and what additional aspects does the DAILM model suggest it cover?</t>
        </is>
      </c>
      <c r="V122" s="5" t="inlineStr">
        <is>
          <t>Teachers' AI literacy needs to extend beyond the foundational level because of their influential role in shaping both educational experiences and ethical AI discourse. Based on the DAILM model, the additional aspects are Pedagogical Innovation; Ethical, Social, and Policy Awareness; AI for Social Good; Career and Industry Alignment; Continuous Professional Development; Research and Scholarly Engagement; and Responsible AI Usage and Development.</t>
        </is>
      </c>
      <c r="W122" s="5" t="inlineStr">
        <is>
          <t>not_standalone(judge). The answer directly restates the evidence: the reason given (teachers' influential role in shaping educational experiences and ethical AI discourse) and all seven DAILM aspects appear verbatim. The question relies on the undefined acronym 'DAILM' and never explains what the model is, so a reader unfamiliar with the source cannot tell what framework is meant.</t>
        </is>
      </c>
      <c r="X122" s="5" t="inlineStr">
        <is>
          <t>extra:faculty_readiness</t>
        </is>
      </c>
      <c r="Y122" s="5" t="inlineStr">
        <is>
          <t>cecilia-ka-yuk-chan-2024-generative-ai-in:0035:q2</t>
        </is>
      </c>
    </row>
    <row r="123">
      <c r="A123" s="5" t="n">
        <v>122</v>
      </c>
      <c r="B123" s="5" t="b">
        <v>0</v>
      </c>
      <c r="C123" s="6" t="n"/>
      <c r="D123" s="6" t="n"/>
      <c r="E123" s="5" t="n"/>
      <c r="F123" s="5" t="inlineStr">
        <is>
          <t>A university department wants its lecturers to use automated assessment systems and build personalised learning experiences with AI. What level of technical AI proficiency should it aim for in these lecturers, and what does a good AI foundation enable them to do?</t>
        </is>
      </c>
      <c r="G123" s="5" t="inlineStr">
        <is>
          <t>University teachers should have at least a medium level of proficiency in technical AI application, so they can better understand and interact with AI technologies for teaching, learning, and research. A good foundation in AI enables teachers to employ data analysis techniques, engage with automated assessment systems, and create personalised learning experiences.</t>
        </is>
      </c>
      <c r="H123" s="5" t="inlineStr">
        <is>
          <t>Generative AI in Higher Education: The ChatGPT Effect, pp. 62-63</t>
        </is>
      </c>
      <c r="I123" s="5" t="inlineStr">
        <is>
          <t>University teachers should possess at least a
36 AI Literacy
medium level of proficiency in technical AI application, allowing them to better understand and interact with AI technologies for teaching, learning, and research. … A good foundation in AI enables teachers to employ data analysis techniques, engage with automated assessment systems, and create personalised learning experiences.</t>
        </is>
      </c>
      <c r="J123" s="5" t="b">
        <v>1</v>
      </c>
      <c r="K123" s="5" t="inlineStr"/>
      <c r="L123" s="5" t="b">
        <v>0</v>
      </c>
      <c r="M123" s="5" t="inlineStr">
        <is>
          <t>application</t>
        </is>
      </c>
      <c r="N123" s="5" t="inlineStr">
        <is>
          <t>hard</t>
        </is>
      </c>
      <c r="O123" s="5" t="inlineStr">
        <is>
          <t>faculty_readiness</t>
        </is>
      </c>
      <c r="P123" s="5" t="n">
        <v>5</v>
      </c>
      <c r="Q123" s="5" t="b">
        <v>1</v>
      </c>
      <c r="R123" s="5" t="inlineStr">
        <is>
          <t>Every statement in the answer is taken directly from the evidence, which says teachers need at least medium proficiency to understand and interact with AI technologies, and that a good foundation enables data analysis, automated assessment and personalised learning. | The question describes a concrete scenario and asks a clear question. It does not refer to any unseen source or context.</t>
        </is>
      </c>
      <c r="S123" s="5" t="inlineStr">
        <is>
          <t>If a department wants lecturers to engage with automated assessment and personalised learning through AI, what minimum technical proficiency should it target, and what does an AI foundation make possible?</t>
        </is>
      </c>
      <c r="T123" s="5" t="inlineStr">
        <is>
          <t>What technical AI proficiency level should lecturers reach at minimum, and what capabilities does a good AI foundation give them, for work with automated assessment and personalised learning?</t>
        </is>
      </c>
      <c r="U123" s="5" t="inlineStr"/>
      <c r="V123" s="5" t="inlineStr"/>
      <c r="W123" s="5" t="inlineStr"/>
      <c r="X123" s="5" t="inlineStr">
        <is>
          <t>extra:faculty_readiness</t>
        </is>
      </c>
      <c r="Y123" s="5" t="inlineStr">
        <is>
          <t>cecilia-ka-yuk-chan-2024-generative-ai-in:0035:q3</t>
        </is>
      </c>
    </row>
    <row r="124">
      <c r="A124" s="5" t="n">
        <v>123</v>
      </c>
      <c r="B124" s="5" t="b">
        <v>0</v>
      </c>
      <c r="C124" s="6" t="n"/>
      <c r="D124" s="6" t="n"/>
      <c r="E124" s="5" t="n"/>
      <c r="F124" s="5" t="inlineStr">
        <is>
          <t>How do the findings of a study on institutional culture and AI-based assessment in Chinese universities characterize AI-enabled assessment?</t>
        </is>
      </c>
      <c r="G124" s="5" t="inlineStr">
        <is>
          <t>AI-enabled assessment is positioned as a culturally mediated dimension of academic management rather than a purely technical add-on.</t>
        </is>
      </c>
      <c r="H124" s="5" t="inlineStr">
        <is>
          <t>AI-enabled assessment in higher education: Institutional culture and student meta-skill readiness across university tiers, p. 1</t>
        </is>
      </c>
      <c r="I124" s="5" t="inlineStr">
        <is>
          <t>These findings position AI-enabled assessment as a culturally mediated dimension of academic management rather than a purely technical add-on.</t>
        </is>
      </c>
      <c r="J124" s="5" t="b">
        <v>1</v>
      </c>
      <c r="K124" s="5" t="inlineStr"/>
      <c r="L124" s="5" t="b">
        <v>0</v>
      </c>
      <c r="M124" s="5" t="inlineStr">
        <is>
          <t>definition</t>
        </is>
      </c>
      <c r="N124" s="5" t="inlineStr">
        <is>
          <t>easy</t>
        </is>
      </c>
      <c r="O124" s="5" t="inlineStr">
        <is>
          <t>assessment</t>
        </is>
      </c>
      <c r="P124" s="5" t="n">
        <v>5</v>
      </c>
      <c r="Q124" s="5" t="b">
        <v>1</v>
      </c>
      <c r="R124" s="5" t="inlineStr">
        <is>
          <t>The answer restates the evidence sentence almost verbatim: AI-enabled assessment is a culturally mediated dimension of academic management rather than a purely technical add-on. | The question identifies the study by its content (institutional culture and AI-based assessment in Chinese universities) and does not rely on unseen references.</t>
        </is>
      </c>
      <c r="S124" s="5" t="inlineStr">
        <is>
          <t>In a study of institutional culture and AI-based assessment at universities in China, how is AI-enabled assessment characterized in the findings?</t>
        </is>
      </c>
      <c r="T124" s="5" t="inlineStr">
        <is>
          <t>What do the findings from research on institutional culture and AI-based assessment in Chinese universities say AI-enabled assessment is?</t>
        </is>
      </c>
      <c r="U124" s="5" t="inlineStr"/>
      <c r="V124" s="5" t="inlineStr"/>
      <c r="W124" s="5" t="inlineStr"/>
      <c r="X124" s="5" t="inlineStr">
        <is>
          <t>extra:assessment</t>
        </is>
      </c>
      <c r="Y124" s="5" t="inlineStr">
        <is>
          <t>ai-enabled-assessment-in-higher-education:0000:q2</t>
        </is>
      </c>
    </row>
    <row r="125">
      <c r="A125" s="5" t="n">
        <v>124</v>
      </c>
      <c r="B125" s="5" t="b">
        <v>0</v>
      </c>
      <c r="C125" s="6" t="n"/>
      <c r="D125" s="6" t="n"/>
      <c r="E125" s="5" t="n"/>
      <c r="F125" s="5" t="inlineStr">
        <is>
          <t>What role did governance and ethics readiness play in the link between AI-based assessment practices and students' meta-skills, and how strong was that link?</t>
        </is>
      </c>
      <c r="G125" s="5" t="inlineStr">
        <is>
          <t>AI-based assessment practices were strongly associated with meta-skills (β = .58, R² = .55). Governance and ethics readiness significantly strengthened this relationship.</t>
        </is>
      </c>
      <c r="H125" s="5" t="inlineStr">
        <is>
          <t>AI-enabled assessment in higher education: Institutional culture and student meta-skill readiness across university tiers, p. 1</t>
        </is>
      </c>
      <c r="I125" s="5" t="inlineStr">
        <is>
          <t>while AI-based assessment practices were strongly associated with meta-skills (β = .58, R 2 = .55) … Governance and ethics readiness significantly strengthened the AI-based assessment-meta-skills relationship</t>
        </is>
      </c>
      <c r="J125" s="5" t="b">
        <v>1</v>
      </c>
      <c r="K125" s="5" t="inlineStr"/>
      <c r="L125" s="5" t="b">
        <v>0</v>
      </c>
      <c r="M125" s="5" t="inlineStr">
        <is>
          <t>explanation</t>
        </is>
      </c>
      <c r="N125" s="5" t="inlineStr">
        <is>
          <t>medium</t>
        </is>
      </c>
      <c r="O125" s="5" t="inlineStr">
        <is>
          <t>governance</t>
        </is>
      </c>
      <c r="P125" s="5" t="n">
        <v>5</v>
      </c>
      <c r="Q125" s="5" t="b">
        <v>1</v>
      </c>
      <c r="R125" s="5" t="inlineStr">
        <is>
          <t>Both statements, the strong association (β = .58, R² = .55) and the significant strengthening by governance and ethics readiness, are stated directly in the evidence. | The question names the variables involved (governance and ethics readiness, AI-based assessment practices, students' meta-skills) and uses no references to unseen context, so a reader understands what is being asked.</t>
        </is>
      </c>
      <c r="S125" s="5" t="inlineStr">
        <is>
          <t>How did governance and ethics readiness function in the connection between AI-based assessment practices and students' meta-skills, and what was the strength of that connection?</t>
        </is>
      </c>
      <c r="T125" s="5" t="inlineStr">
        <is>
          <t>What part did governance and ethics readiness play in linking AI-based assessment practices to students' meta-skills, and how strong was this link?</t>
        </is>
      </c>
      <c r="U125" s="5" t="inlineStr"/>
      <c r="V125" s="5" t="inlineStr"/>
      <c r="W125" s="5" t="inlineStr"/>
      <c r="X125" s="5" t="inlineStr">
        <is>
          <t>extra:assessment</t>
        </is>
      </c>
      <c r="Y125" s="5" t="inlineStr">
        <is>
          <t>ai-enabled-assessment-in-higher-education:0000:q3</t>
        </is>
      </c>
    </row>
    <row r="126">
      <c r="A126" s="5" t="n">
        <v>125</v>
      </c>
      <c r="B126" s="5" t="b">
        <v>0</v>
      </c>
      <c r="C126" s="6" t="n"/>
      <c r="D126" s="6" t="n"/>
      <c r="E126" s="5" t="n"/>
      <c r="F126" s="5" t="inlineStr">
        <is>
          <t>In which type of Chinese university was the pathway from institutional culture to AI-based assessment practice found to be stronger?</t>
        </is>
      </c>
      <c r="G126" s="5" t="inlineStr">
        <is>
          <t>Cross-tier comparisons showed a stronger culture-to-practice pathway in national key universities.</t>
        </is>
      </c>
      <c r="H126" s="5" t="inlineStr">
        <is>
          <t>AI-enabled assessment in higher education: Institutional culture and student meta-skill readiness across university tiers, p. 1</t>
        </is>
      </c>
      <c r="I126" s="5" t="inlineStr">
        <is>
          <t>cross-tier comparisons showed a stronger culture-to-practice pathway in national key universities</t>
        </is>
      </c>
      <c r="J126" s="5" t="b">
        <v>1</v>
      </c>
      <c r="K126" s="5" t="inlineStr"/>
      <c r="L126" s="5" t="b">
        <v>0</v>
      </c>
      <c r="M126" s="5" t="inlineStr">
        <is>
          <t>factual</t>
        </is>
      </c>
      <c r="N126" s="5" t="inlineStr">
        <is>
          <t>easy</t>
        </is>
      </c>
      <c r="O126" s="5" t="inlineStr">
        <is>
          <t>leadership_strategy</t>
        </is>
      </c>
      <c r="P126" s="5" t="n">
        <v>5</v>
      </c>
      <c r="Q126" s="5" t="b">
        <v>1</v>
      </c>
      <c r="R126" s="5" t="inlineStr">
        <is>
          <t>The answer restates the evidence almost verbatim: cross-tier comparisons showed a stronger culture-to-practice pathway in national key universities. | The question names the setting (Chinese universities) and the relationship (institutional culture to AI-based assessment practice) without relying on unseen context.</t>
        </is>
      </c>
      <c r="S126" s="5" t="inlineStr">
        <is>
          <t>Across university tiers in China, where was the link from institutional culture to AI-based assessment practice strongest?</t>
        </is>
      </c>
      <c r="T126" s="5" t="inlineStr">
        <is>
          <t>Among Chinese universities, which type showed a stronger link from institutional culture to the practice of AI-based assessment?</t>
        </is>
      </c>
      <c r="U126" s="5" t="inlineStr"/>
      <c r="V126" s="5" t="inlineStr"/>
      <c r="W126" s="5" t="inlineStr"/>
      <c r="X126" s="5" t="inlineStr">
        <is>
          <t>extra:assessment</t>
        </is>
      </c>
      <c r="Y126" s="5" t="inlineStr">
        <is>
          <t>ai-enabled-assessment-in-higher-education:0000:q4</t>
        </is>
      </c>
    </row>
    <row r="127">
      <c r="A127" s="5" t="n">
        <v>126</v>
      </c>
      <c r="B127" s="5" t="b">
        <v>0</v>
      </c>
      <c r="C127" s="6" t="n"/>
      <c r="D127" s="6" t="n"/>
      <c r="E127" s="5" t="n"/>
      <c r="F127" s="5" t="inlineStr">
        <is>
          <t>Why has the potential of MOOC reviews as a source of data on learners' experiences, preferences and challenges remained largely untapped?</t>
        </is>
      </c>
      <c r="G127" s="5" t="inlineStr">
        <is>
          <t>MOOC reviews are a rich data source reflecting learners' experiences, preferences, and challenges. Their potential remains largely untapped because there has been no structured and comprehensive repository accessible for educational research and analysis.</t>
        </is>
      </c>
      <c r="H127" s="5" t="inlineStr">
        <is>
          <t>Artificial Intelligence in Education. Posters and Late Breaking Results, Workshops and Tutorials, Industry and Innovation Tracks, Practitioners, Doctoral Consortium and Blue Sky, p. 169</t>
        </is>
      </c>
      <c r="I127" s="5" t="inlineStr">
        <is>
          <t>These reviews are a rich data source, reflecting the learners' experiences, preferences, and challenges. However, the potential of this data remains largely untapped, due to the lack of a structured and comprehensive repository, accessible for educational research and analysis.</t>
        </is>
      </c>
      <c r="J127" s="5" t="b">
        <v>1</v>
      </c>
      <c r="K127" s="5" t="inlineStr"/>
      <c r="L127" s="5" t="b">
        <v>0</v>
      </c>
      <c r="M127" s="5" t="inlineStr">
        <is>
          <t>explanation</t>
        </is>
      </c>
      <c r="N127" s="5" t="inlineStr">
        <is>
          <t>medium</t>
        </is>
      </c>
      <c r="O127" s="5" t="inlineStr">
        <is>
          <t>general</t>
        </is>
      </c>
      <c r="P127" s="5" t="n">
        <v>5</v>
      </c>
      <c r="Q127" s="5" t="b">
        <v>1</v>
      </c>
      <c r="R127" s="5" t="inlineStr">
        <is>
          <t>Both statements in the answer restate the evidence directly: reviews are a rich data source, and their potential is untapped for lack of a structured, comprehensive repository accessible for research. | The question names MOOC reviews explicitly and relies on no unseen context. MOOC is a widely known term.</t>
        </is>
      </c>
      <c r="S127" s="5" t="inlineStr">
        <is>
          <t>What explains the fact that MOOC reviews have been little exploited as data on learners' experiences, preferences and challenges?</t>
        </is>
      </c>
      <c r="T127" s="5" t="inlineStr">
        <is>
          <t>Why is MOOC review data, despite reflecting learners' experiences, preferences and challenges, still largely unused?</t>
        </is>
      </c>
      <c r="U127" s="5" t="inlineStr"/>
      <c r="V127" s="5" t="inlineStr"/>
      <c r="W127" s="5" t="inlineStr"/>
      <c r="X127" s="5" t="inlineStr">
        <is>
          <t>extra:procurement_technology</t>
        </is>
      </c>
      <c r="Y127" s="5" t="inlineStr">
        <is>
          <t>artificial-intelligence-bceaf5:0124:q1</t>
        </is>
      </c>
    </row>
    <row r="128">
      <c r="A128" s="5" t="n">
        <v>127</v>
      </c>
      <c r="B128" s="5" t="b">
        <v>0</v>
      </c>
      <c r="C128" s="6" t="n"/>
      <c r="D128" s="6" t="n"/>
      <c r="E128" s="5" t="n"/>
      <c r="F128" s="5" t="inlineStr">
        <is>
          <t>What six challenges does the MOOCRev course review repository target?</t>
        </is>
      </c>
      <c r="G128" s="5" t="inlineStr">
        <is>
          <t>MOOCRev targets six challenges: anonymisation of the data to ensure user privacy and data integrity, dealing with class (rating) bias, addressing language diversity and platform-specific rating systems, processing emojis and emoticons, providing text weights, and tagging reviews with Parts of Speech.</t>
        </is>
      </c>
      <c r="H128" s="5" t="inlineStr">
        <is>
          <t>Artificial Intelligence in Education. Posters and Late Breaking Results, Workshops and Tutorials, Industry and Innovation Tracks, Practitioners, Doctoral Consortium and Blue Sky, p. 168</t>
        </is>
      </c>
      <c r="I128" s="5" t="inlineStr">
        <is>
          <t>MOOCRev targets the following challenges (1) thorough, research-based anonymisation of the data to ensure user privacy and data integrity, (2) dealing with class (rating) bias, (3) addressing language diversity and platform-specific rating systems, (4) processing emojis and emoticons, (5) providing text weights (6) and tagging the reviews with the corresponding Parts of Speech (POS).</t>
        </is>
      </c>
      <c r="J128" s="5" t="b">
        <v>1</v>
      </c>
      <c r="K128" s="5" t="inlineStr"/>
      <c r="L128" s="5" t="b">
        <v>0</v>
      </c>
      <c r="M128" s="5" t="inlineStr">
        <is>
          <t>factual</t>
        </is>
      </c>
      <c r="N128" s="5" t="inlineStr">
        <is>
          <t>easy</t>
        </is>
      </c>
      <c r="O128" s="5" t="inlineStr">
        <is>
          <t>privacy_security</t>
        </is>
      </c>
      <c r="P128" s="5" t="n">
        <v>4</v>
      </c>
      <c r="Q128" s="5" t="b">
        <v>1</v>
      </c>
      <c r="R128" s="5" t="inlineStr">
        <is>
          <t>The answer lists all six challenges as stated in the evidence. It only drops minor wording such as 'thorough, research-based', which is trivial. | The question names MOOCRev specifically and calls it a course review repository, so it can be understood without seeing the source.</t>
        </is>
      </c>
      <c r="S128" s="5" t="inlineStr">
        <is>
          <t>Which six challenges are addressed by the MOOCRev data repository?</t>
        </is>
      </c>
      <c r="T128" s="5" t="inlineStr">
        <is>
          <t>What are the six issues MOOCRev is designed to deal with?</t>
        </is>
      </c>
      <c r="U128" s="5" t="inlineStr"/>
      <c r="V128" s="5" t="inlineStr"/>
      <c r="W128" s="5" t="inlineStr"/>
      <c r="X128" s="5" t="inlineStr">
        <is>
          <t>extra:procurement_technology</t>
        </is>
      </c>
      <c r="Y128" s="5" t="inlineStr">
        <is>
          <t>artificial-intelligence-bceaf5:0124:q3</t>
        </is>
      </c>
    </row>
    <row r="129">
      <c r="A129" s="5" t="n">
        <v>128</v>
      </c>
      <c r="B129" s="5" t="b">
        <v>0</v>
      </c>
      <c r="C129" s="6" t="n"/>
      <c r="D129" s="6" t="n"/>
      <c r="E129" s="5" t="n"/>
      <c r="F129" s="5" t="inlineStr">
        <is>
          <t>What NLP tasks and benefits can a repository of MOOC reviews and ratings offer to researchers, educators, platform developers and future learners?</t>
        </is>
      </c>
      <c r="G129" s="5" t="inlineStr">
        <is>
          <t>The repository offers researchers, educators, and platform developers opportunities for various Natural Language Processing tasks, including learners' sentiments and feedback analysis. It also aids future learners in selecting courses aligned with their interests and learning styles based on previous learners' experiences.</t>
        </is>
      </c>
      <c r="H129" s="5" t="inlineStr">
        <is>
          <t>Artificial Intelligence in Education. Posters and Late Breaking Results, Workshops and Tutorials, Industry and Innovation Tracks, Practitioners, Doctoral Consortium and Blue Sky, p. 168</t>
        </is>
      </c>
      <c r="I129" s="5" t="inlineStr">
        <is>
          <t>The repository provides researchers, educators, and platform developers with invaluable opportunities for various Natural Language Processing (NLP) tasks, including learners' sentiments and feedback analysis, aiding future learners in selecting courses aligned with their interests and learning styles based on previous learners' experiences.</t>
        </is>
      </c>
      <c r="J129" s="5" t="b">
        <v>1</v>
      </c>
      <c r="K129" s="5" t="inlineStr"/>
      <c r="L129" s="5" t="b">
        <v>0</v>
      </c>
      <c r="M129" s="5" t="inlineStr">
        <is>
          <t>definition</t>
        </is>
      </c>
      <c r="N129" s="5" t="inlineStr">
        <is>
          <t>medium</t>
        </is>
      </c>
      <c r="O129" s="5" t="inlineStr">
        <is>
          <t>teaching_learning</t>
        </is>
      </c>
      <c r="P129" s="5" t="n">
        <v>5</v>
      </c>
      <c r="Q129" s="5" t="b">
        <v>1</v>
      </c>
      <c r="R129" s="5" t="inlineStr">
        <is>
          <t>The answer restates the evidence almost verbatim: NLP opportunities for researchers, educators and platform developers, sentiment and feedback analysis, and help for future learners in choosing courses. | MOOC and NLP are widely recognized terms, and the question names a generic MOOC review repository without pointing to unseen context.</t>
        </is>
      </c>
      <c r="S129" s="5" t="inlineStr">
        <is>
          <t>Which natural language processing tasks can be performed with a collection of MOOC reviews and ratings, and what benefits does it provide to researchers, educators, platform developers and prospective learners?</t>
        </is>
      </c>
      <c r="T129" s="5" t="inlineStr">
        <is>
          <t>For researchers, educators, platform developers and future learners, what NLP tasks and advantages can be gained from a repository containing MOOC reviews and ratings?</t>
        </is>
      </c>
      <c r="U129" s="5" t="inlineStr"/>
      <c r="V129" s="5" t="inlineStr"/>
      <c r="W129" s="5" t="inlineStr"/>
      <c r="X129" s="5" t="inlineStr">
        <is>
          <t>extra:procurement_technology</t>
        </is>
      </c>
      <c r="Y129" s="5" t="inlineStr">
        <is>
          <t>artificial-intelligence-bceaf5:0124:q4</t>
        </is>
      </c>
    </row>
    <row r="130">
      <c r="A130" s="5" t="n">
        <v>129</v>
      </c>
      <c r="B130" s="5" t="b">
        <v>0</v>
      </c>
      <c r="C130" s="6" t="n"/>
      <c r="D130" s="6" t="n"/>
      <c r="E130" s="5" t="n"/>
      <c r="F130" s="5" t="inlineStr">
        <is>
          <t>According to a paper on stakeholder engagement and AI competency in higher education, why do faculty emerge as pivotal stakeholders in higher education institutions?</t>
        </is>
      </c>
      <c r="G130" s="5" t="inlineStr">
        <is>
          <t>Faculty emerge as pivotal stakeholders because of their active engagement in teaching, research, and institutional responsiveness to change.</t>
        </is>
      </c>
      <c r="H130" s="5" t="inlineStr">
        <is>
          <t>Stakeholder engagement and strategic innovation in higher education through AI competency, p. 4</t>
        </is>
      </c>
      <c r="I130" s="5" t="inlineStr">
        <is>
          <t>Within this evolving landscape, faculty emerge as pivotal stakeholders due to their active engagement in teaching, research, and institutional responsiveness to change (Langrafe et al., 2020; Mah &amp; Groß, 2024).</t>
        </is>
      </c>
      <c r="J130" s="5" t="b">
        <v>1</v>
      </c>
      <c r="K130" s="5" t="inlineStr"/>
      <c r="L130" s="5" t="b">
        <v>0</v>
      </c>
      <c r="M130" s="5" t="inlineStr">
        <is>
          <t>factual</t>
        </is>
      </c>
      <c r="N130" s="5" t="inlineStr">
        <is>
          <t>easy</t>
        </is>
      </c>
      <c r="O130" s="5" t="inlineStr">
        <is>
          <t>faculty_readiness</t>
        </is>
      </c>
      <c r="P130" s="5" t="n">
        <v>5</v>
      </c>
      <c r="Q130" s="5" t="b">
        <v>1</v>
      </c>
      <c r="R130" s="5" t="inlineStr">
        <is>
          <t>The answer restates the evidence nearly verbatim: faculty are pivotal because of their active engagement in teaching, research, and institutional responsiveness to change. Nothing is added. | The question identifies its source by content (a paper on stakeholder engagement and AI competency in higher education) and asks a clear question without relying on unseen context.</t>
        </is>
      </c>
      <c r="S130" s="5" t="inlineStr">
        <is>
          <t>What makes faculty pivotal stakeholders in higher education institutions in research on stakeholder engagement and AI competency?</t>
        </is>
      </c>
      <c r="T130" s="5" t="inlineStr">
        <is>
          <t>In work on AI competency and stakeholder engagement in universities, what is the reason faculty are described as pivotal stakeholders?</t>
        </is>
      </c>
      <c r="U130" s="5" t="inlineStr"/>
      <c r="V130" s="5" t="inlineStr"/>
      <c r="W130" s="5" t="inlineStr"/>
      <c r="X130" s="5" t="inlineStr">
        <is>
          <t>extra:leadership_strategy</t>
        </is>
      </c>
      <c r="Y130" s="5" t="inlineStr">
        <is>
          <t>stakeholder-engagement-and-strategic-innovation:0006:q0</t>
        </is>
      </c>
    </row>
    <row r="131">
      <c r="A131" s="5" t="n">
        <v>130</v>
      </c>
      <c r="B131" s="5" t="b">
        <v>0</v>
      </c>
      <c r="C131" s="6" t="n"/>
      <c r="D131" s="6" t="n"/>
      <c r="E131" s="5" t="n"/>
      <c r="F131" s="5" t="inlineStr">
        <is>
          <t>What specific kinds of training are said to be required to prepare higher education faculty for artificial intelligence?</t>
        </is>
      </c>
      <c r="G131" s="5" t="inlineStr">
        <is>
          <t>Preparing faculty requires specialized training in adaptive learning, automated assessment, and data-driven instructional design. It also requires ethical frameworks that ensure alignment with institutional values and the public interest.</t>
        </is>
      </c>
      <c r="H131" s="5" t="inlineStr">
        <is>
          <t>Stakeholder engagement and strategic innovation in higher education through AI competency, p. 4</t>
        </is>
      </c>
      <c r="I131" s="5" t="inlineStr">
        <is>
          <t>Addressing this challenge requires specialized training in adaptive learning, automated assessment, and data-driven instructional design, as well as ethical frameworks that ensure alignment with institutional values and the public interest (Ciarra Tejada &amp; Parra S´anchez, 2024).</t>
        </is>
      </c>
      <c r="J131" s="5" t="b">
        <v>1</v>
      </c>
      <c r="K131" s="5" t="inlineStr"/>
      <c r="L131" s="5" t="b">
        <v>0</v>
      </c>
      <c r="M131" s="5" t="inlineStr">
        <is>
          <t>factual</t>
        </is>
      </c>
      <c r="N131" s="5" t="inlineStr">
        <is>
          <t>easy</t>
        </is>
      </c>
      <c r="O131" s="5" t="inlineStr">
        <is>
          <t>faculty_readiness</t>
        </is>
      </c>
      <c r="P131" s="5" t="n">
        <v>4</v>
      </c>
      <c r="Q131" s="5" t="b">
        <v>1</v>
      </c>
      <c r="R131" s="5" t="inlineStr">
        <is>
          <t>The listed training areas and ethical frameworks match the evidence closely. The evidence refers only to 'this challenge', so linking it explicitly to preparing faculty for AI is a slight assumption. | The question names its subject (faculty preparation for AI in higher education) and does not refer to any unseen context.</t>
        </is>
      </c>
      <c r="S131" s="5" t="inlineStr">
        <is>
          <t>Which areas of specialized training are needed to ready university faculty for AI?</t>
        </is>
      </c>
      <c r="T131" s="5" t="inlineStr">
        <is>
          <t>To prepare faculty in higher education for AI, what training must be provided?</t>
        </is>
      </c>
      <c r="U131" s="5" t="inlineStr"/>
      <c r="V131" s="5" t="inlineStr"/>
      <c r="W131" s="5" t="inlineStr"/>
      <c r="X131" s="5" t="inlineStr">
        <is>
          <t>extra:leadership_strategy</t>
        </is>
      </c>
      <c r="Y131" s="5" t="inlineStr">
        <is>
          <t>stakeholder-engagement-and-strategic-innovation:0006:q1</t>
        </is>
      </c>
    </row>
    <row r="132">
      <c r="A132" s="5" t="n">
        <v>131</v>
      </c>
      <c r="B132" s="5" t="b">
        <v>0</v>
      </c>
      <c r="C132" s="6" t="n"/>
      <c r="D132" s="6" t="n"/>
      <c r="E132" s="5" t="n"/>
      <c r="F132" s="5" t="inlineStr">
        <is>
          <t>What research gap is identified regarding faculty development as a strategic investment and as a stakeholder engagement imperative?</t>
        </is>
      </c>
      <c r="G132" s="5" t="inlineStr">
        <is>
          <t>Most studies examine these dimensions separately, even though both frameworks stress the centrality of faculty in digital and pedagogical transformation. This reveals a research gap regarding the combined analysis of faculty development as both a strategic investment and a stakeholder engagement imperative.</t>
        </is>
      </c>
      <c r="H132" s="5" t="inlineStr">
        <is>
          <t>Stakeholder engagement and strategic innovation in higher education through AI competency, p. 4</t>
        </is>
      </c>
      <c r="I132" s="5" t="inlineStr">
        <is>
          <t>Although both frameworks stress the centrality of faculty in ongoing digital and pedagogical transformation, most studies examine these dimensions separately. This reveals a research gap regarding the combined analysis of faculty development as both a strategic investment and a stakeholder engagement imperative.</t>
        </is>
      </c>
      <c r="J132" s="5" t="b">
        <v>1</v>
      </c>
      <c r="K132" s="5" t="inlineStr"/>
      <c r="L132" s="5" t="b">
        <v>0</v>
      </c>
      <c r="M132" s="5" t="inlineStr">
        <is>
          <t>factual</t>
        </is>
      </c>
      <c r="N132" s="5" t="inlineStr">
        <is>
          <t>easy</t>
        </is>
      </c>
      <c r="O132" s="5" t="inlineStr">
        <is>
          <t>leadership_strategy</t>
        </is>
      </c>
      <c r="P132" s="5" t="n">
        <v>5</v>
      </c>
      <c r="Q132" s="5" t="b">
        <v>1</v>
      </c>
      <c r="R132" s="5" t="inlineStr">
        <is>
          <t>The answer restates the evidence nearly verbatim, and every statement is directly supported. | The question names the topic explicitly and relies on no unseen context such as 'the authors' or 'this study'.</t>
        </is>
      </c>
      <c r="S132" s="5" t="inlineStr">
        <is>
          <t>What gap in the research exists concerning faculty development viewed as both strategic investment and stakeholder engagement?</t>
        </is>
      </c>
      <c r="T132" s="5" t="inlineStr">
        <is>
          <t>What gap in the existing research has been noted concerning faculty development viewed as a strategic investment and as an imperative for engaging stakeholders?</t>
        </is>
      </c>
      <c r="U132" s="5" t="inlineStr"/>
      <c r="V132" s="5" t="inlineStr"/>
      <c r="W132" s="5" t="inlineStr"/>
      <c r="X132" s="5" t="inlineStr">
        <is>
          <t>extra:leadership_strategy</t>
        </is>
      </c>
      <c r="Y132" s="5" t="inlineStr">
        <is>
          <t>stakeholder-engagement-and-strategic-innovation:0006:q2</t>
        </is>
      </c>
    </row>
    <row r="133">
      <c r="A133" s="5" t="n">
        <v>132</v>
      </c>
      <c r="B133" s="5" t="b">
        <v>0</v>
      </c>
      <c r="C133" s="6" t="n"/>
      <c r="D133" s="6" t="n"/>
      <c r="E133" s="5" t="n"/>
      <c r="F133" s="5" t="inlineStr">
        <is>
          <t>Why does a lack of comprehensive frameworks for preparing faculty for AI constrain a higher education institution's responsiveness to societal needs?</t>
        </is>
      </c>
      <c r="G133" s="5" t="inlineStr">
        <is>
          <t>Many HEIs lack comprehensive frameworks to prepare faculty for emerging technological challenges such as AI. This gap undermines faculty's ability to integrate AI into teaching, research, and service, thereby constraining institutional responsiveness to societal needs.</t>
        </is>
      </c>
      <c r="H133" s="5" t="inlineStr">
        <is>
          <t>Stakeholder engagement and strategic innovation in higher education through AI competency, p. 4</t>
        </is>
      </c>
      <c r="I133" s="5" t="inlineStr">
        <is>
          <t>Despite their strategic role, many HEIs lack comprehensive frameworks to prepare faculty for emerging technological challenges such as artificial intelligence. This gap undermines their ability to integrate AI into teaching, research, and service, thereby constraining institutional responsiveness to societal needs (Sued, 2022).</t>
        </is>
      </c>
      <c r="J133" s="5" t="b">
        <v>1</v>
      </c>
      <c r="K133" s="5" t="inlineStr"/>
      <c r="L133" s="5" t="b">
        <v>0</v>
      </c>
      <c r="M133" s="5" t="inlineStr">
        <is>
          <t>explanation</t>
        </is>
      </c>
      <c r="N133" s="5" t="inlineStr">
        <is>
          <t>medium</t>
        </is>
      </c>
      <c r="O133" s="5" t="inlineStr">
        <is>
          <t>faculty_readiness</t>
        </is>
      </c>
      <c r="P133" s="5" t="n">
        <v>4</v>
      </c>
      <c r="Q133" s="5" t="b">
        <v>1</v>
      </c>
      <c r="R133" s="5" t="inlineStr">
        <is>
          <t>The answer closely restates the evidence. It does attribute the undermined ability to 'faculty', while the evidence's 'their' could refer to the HEIs, which is a minor interpretive choice. | The question is self-contained, uses no undefined acronyms, and refers to no unseen source.</t>
        </is>
      </c>
      <c r="S133" s="5" t="inlineStr">
        <is>
          <t>How does the absence of comprehensive faculty AI-preparation frameworks limit a university's responsiveness to societal needs?</t>
        </is>
      </c>
      <c r="T133" s="5" t="inlineStr">
        <is>
          <t>Why do gaps in frameworks to prepare faculty for AI reduce institutional responsiveness to societal needs in higher education?</t>
        </is>
      </c>
      <c r="U133" s="5" t="inlineStr"/>
      <c r="V133" s="5" t="inlineStr"/>
      <c r="W133" s="5" t="inlineStr"/>
      <c r="X133" s="5" t="inlineStr">
        <is>
          <t>extra:leadership_strategy</t>
        </is>
      </c>
      <c r="Y133" s="5" t="inlineStr">
        <is>
          <t>stakeholder-engagement-and-strategic-innovation:0006:q4</t>
        </is>
      </c>
    </row>
    <row r="134">
      <c r="A134" s="5" t="n">
        <v>133</v>
      </c>
      <c r="B134" s="5" t="b">
        <v>0</v>
      </c>
      <c r="C134" s="6" t="n"/>
      <c r="D134" s="6" t="n"/>
      <c r="E134" s="5" t="n"/>
      <c r="F134" s="5" t="inlineStr">
        <is>
          <t>Why did educators at Ha'il University say AI-based plagiarism detectors should be used to check student assignments?</t>
        </is>
      </c>
      <c r="G134" s="5" t="inlineStr">
        <is>
          <t>Educators reported that, to use AI ethically, students' assignments need to be checked using AI-based plagiarism detectors. They said this prevents students from depending completely on AI to do their assignments.</t>
        </is>
      </c>
      <c r="H134" s="5" t="inlineStr">
        <is>
          <t>Ethical and pedagogical implications of AI in language education: An empirical study at Ha'il University, p. 5</t>
        </is>
      </c>
      <c r="I134" s="5" t="inlineStr">
        <is>
          <t>To use AI ethically, educators reported the need to check students' assignments using AI-based plagiarism detectors. This prevents students from completely depending on AI to do their assignments.</t>
        </is>
      </c>
      <c r="J134" s="5" t="b">
        <v>1</v>
      </c>
      <c r="K134" s="5" t="inlineStr"/>
      <c r="L134" s="5" t="b">
        <v>0</v>
      </c>
      <c r="M134" s="5" t="inlineStr">
        <is>
          <t>explanation</t>
        </is>
      </c>
      <c r="N134" s="5" t="inlineStr">
        <is>
          <t>medium</t>
        </is>
      </c>
      <c r="O134" s="5" t="inlineStr">
        <is>
          <t>assessment</t>
        </is>
      </c>
      <c r="P134" s="5" t="n">
        <v>4</v>
      </c>
      <c r="Q134" s="5" t="b">
        <v>1</v>
      </c>
      <c r="R134" s="5" t="inlineStr">
        <is>
          <t>The answer closely restates the evidence. It slightly attributes the 'prevents dependence' claim to the educators ('They said'), whereas the evidence states it without clear attribution. | The question names the institution and the practice explicitly. It has no references to unseen context.</t>
        </is>
      </c>
      <c r="S134" s="5" t="inlineStr">
        <is>
          <t>What reason did Ha'il University educators give for checking student assignments with AI-based plagiarism detectors?</t>
        </is>
      </c>
      <c r="T134" s="5" t="inlineStr">
        <is>
          <t>What reason did educators at Ha'il University give for recommending that student assignments be checked with AI-based plagiarism detectors?</t>
        </is>
      </c>
      <c r="U134" s="5" t="inlineStr"/>
      <c r="V134" s="5" t="inlineStr"/>
      <c r="W134" s="5" t="inlineStr"/>
      <c r="X134" s="5" t="inlineStr">
        <is>
          <t>extra:assessment</t>
        </is>
      </c>
      <c r="Y134" s="5" t="inlineStr">
        <is>
          <t>ethical-and-pedagogical-implications-of-ai-in:0011:q0</t>
        </is>
      </c>
    </row>
    <row r="135">
      <c r="A135" s="5" t="n">
        <v>134</v>
      </c>
      <c r="B135" s="5" t="b">
        <v>0</v>
      </c>
      <c r="C135" s="6" t="n"/>
      <c r="D135" s="6" t="n"/>
      <c r="E135" s="5" t="n"/>
      <c r="F135" s="5" t="inlineStr">
        <is>
          <t>In the Ha'il University study of AI in language education, what did teachers emphasize regarding students and AI use?</t>
        </is>
      </c>
      <c r="G135" s="5" t="inlineStr">
        <is>
          <t>Teachers emphasized the necessity of training students to use AI.</t>
        </is>
      </c>
      <c r="H135" s="5" t="inlineStr">
        <is>
          <t>Ethical and pedagogical implications of AI in language education: An empirical study at Ha'il University, p. 5</t>
        </is>
      </c>
      <c r="I135" s="5" t="inlineStr">
        <is>
          <t>They emphasized the necessity of training students to use AI.</t>
        </is>
      </c>
      <c r="J135" s="5" t="b">
        <v>1</v>
      </c>
      <c r="K135" s="5" t="inlineStr"/>
      <c r="L135" s="5" t="b">
        <v>1</v>
      </c>
      <c r="M135" s="5" t="inlineStr">
        <is>
          <t>definition</t>
        </is>
      </c>
      <c r="N135" s="5" t="inlineStr">
        <is>
          <t>easy</t>
        </is>
      </c>
      <c r="O135" s="5" t="inlineStr">
        <is>
          <t>student_ai_literacy</t>
        </is>
      </c>
      <c r="P135" s="5" t="n">
        <v>4</v>
      </c>
      <c r="Q135" s="5" t="b">
        <v>1</v>
      </c>
      <c r="R135" s="5" t="inlineStr">
        <is>
          <t>The answer restates the evidence almost verbatim. The evidence says 'They' rather than naming teachers, so attributing the statement to teachers relies on the question's context. | The question names the study (Ha'il University, AI in language education) and the actor (teachers) and has no unexplained references.</t>
        </is>
      </c>
      <c r="S135" s="5" t="inlineStr">
        <is>
          <t>What did teachers in the Ha'il University study of AI in language education stress about students and the use of AI?</t>
        </is>
      </c>
      <c r="T135" s="5" t="inlineStr">
        <is>
          <t>In the Ha'il University study of AI in language education, what did teachers highlight as necessary concerning students and AI?</t>
        </is>
      </c>
      <c r="U135" s="5" t="inlineStr">
        <is>
          <t>In the Ha'il University study of AI in language education, what did teachers mean by training students to use AI?</t>
        </is>
      </c>
      <c r="V135" s="5" t="inlineStr">
        <is>
          <t>Teachers at Ha'il University recommended training students to use AI by raising their awareness of its benefits and caveats. The training would also teach them to use AI safely and ethically.</t>
        </is>
      </c>
      <c r="W135" s="5" t="inlineStr">
        <is>
          <t>grounding(2). The evidence only says teachers emphasized the necessity of training students to use AI. The training content the answer describes (raising awareness of benefits and caveats, and safe and ethical use) does not appear in the evidence. The question names the study by its content (the Ha'il University study of AI in language education), so it is understandable without seeing the source.</t>
        </is>
      </c>
      <c r="X135" s="5" t="inlineStr">
        <is>
          <t>extra:assessment</t>
        </is>
      </c>
      <c r="Y135" s="5" t="inlineStr">
        <is>
          <t>ethical-and-pedagogical-implications-of-ai-in:0011:q1</t>
        </is>
      </c>
    </row>
    <row r="136">
      <c r="A136" s="5" t="n">
        <v>135</v>
      </c>
      <c r="B136" s="5" t="b">
        <v>0</v>
      </c>
      <c r="C136" s="6" t="n"/>
      <c r="D136" s="6" t="n"/>
      <c r="E136" s="5" t="n"/>
      <c r="F136" s="5" t="inlineStr">
        <is>
          <t>According to teachers reporting on ethical use of AI in EFL education, what did they say is important to do in order to ensure that AI is used ethically?</t>
        </is>
      </c>
      <c r="G136" s="5" t="inlineStr">
        <is>
          <t>Teachers reported that, to ensure ethical use of AI, it is important to regulate the learning environment.</t>
        </is>
      </c>
      <c r="H136" s="5" t="inlineStr">
        <is>
          <t>Ethical and pedagogical implications of AI in language education: An empirical study at Ha'il University, p. 5</t>
        </is>
      </c>
      <c r="I136" s="5" t="inlineStr">
        <is>
          <t>Teachers also reported that to ensure ethical use of AI, it is important to regulate the learning environment.</t>
        </is>
      </c>
      <c r="J136" s="5" t="b">
        <v>1</v>
      </c>
      <c r="K136" s="5" t="inlineStr"/>
      <c r="L136" s="5" t="b">
        <v>1</v>
      </c>
      <c r="M136" s="5" t="inlineStr">
        <is>
          <t>definition</t>
        </is>
      </c>
      <c r="N136" s="5" t="inlineStr">
        <is>
          <t>easy</t>
        </is>
      </c>
      <c r="O136" s="5" t="inlineStr">
        <is>
          <t>governance</t>
        </is>
      </c>
      <c r="P136" s="5" t="n">
        <v>5</v>
      </c>
      <c r="Q136" s="5" t="b">
        <v>1</v>
      </c>
      <c r="R136" s="5" t="inlineStr">
        <is>
          <t>The answer restates the evidence almost verbatim: teachers reported that regulating the learning environment is important to ensure ethical AI use. No unsupported statements. | The question names a clear context, teachers reporting on ethical AI use in English as a Foreign Language education, and asks a clear question. EFL is a widely recognized field acronym.</t>
        </is>
      </c>
      <c r="S136" s="5" t="inlineStr">
        <is>
          <t>What did EFL teachers report as important for ensuring ethical use of AI?</t>
        </is>
      </c>
      <c r="T136" s="5" t="inlineStr">
        <is>
          <t>In discussions of the ethical use of AI in EFL education, what did teachers identify as important for making sure AI is used ethically?</t>
        </is>
      </c>
      <c r="U136" s="5" t="inlineStr">
        <is>
          <t>What did Ha'il University educators mean by regulating the learning environment to ensure ethical use of AI?</t>
        </is>
      </c>
      <c r="V136" s="5" t="inlineStr">
        <is>
          <t>Ha'il University educators proposed regulating the learning environment, such as through organized training courses and by embedding AI in self-regulated learning, to ensure ethical AI use.</t>
        </is>
      </c>
      <c r="W136" s="5" t="inlineStr">
        <is>
          <t>grounding(2). The evidence says only that teachers stressed regulating the learning environment to ensure ethical AI use. The specific measures in the answer (organized training courses, embedding AI in self-regulated learning) are not stated, and the evidence does not mention Ha'il University. The question names a specific institution's educators and a clear concept, with no reference to unseen context.</t>
        </is>
      </c>
      <c r="X136" s="5" t="inlineStr">
        <is>
          <t>extra:assessment</t>
        </is>
      </c>
      <c r="Y136" s="5" t="inlineStr">
        <is>
          <t>ethical-and-pedagogical-implications-of-ai-in:0011:q2</t>
        </is>
      </c>
    </row>
    <row r="137">
      <c r="A137" s="5" t="n">
        <v>136</v>
      </c>
      <c r="B137" s="5" t="b">
        <v>0</v>
      </c>
      <c r="C137" s="6" t="n"/>
      <c r="D137" s="6" t="n"/>
      <c r="E137" s="5" t="n"/>
      <c r="F137" s="5" t="inlineStr">
        <is>
          <t>What did Kim et al. (2022) argue that integrating AI in education should be based on?</t>
        </is>
      </c>
      <c r="G137" s="5" t="inlineStr">
        <is>
          <t>Kim et al. (2022) argued that integrating AI in education should be based on designing a curriculum built on ethical instruction, interdisciplinary learning and capacity building.</t>
        </is>
      </c>
      <c r="H137" s="5" t="inlineStr">
        <is>
          <t>Ethical and pedagogical implications of AI in language education: An empirical study at Ha'il University, p. 5</t>
        </is>
      </c>
      <c r="I137" s="5" t="inlineStr">
        <is>
          <t>This finding aligns with Kim et al. (2022) who pointed out that integrating AI in education should be based on designing a curriculum built on ethical instruction, interdisciplinary learning and capacity building.</t>
        </is>
      </c>
      <c r="J137" s="5" t="b">
        <v>1</v>
      </c>
      <c r="K137" s="5" t="inlineStr"/>
      <c r="L137" s="5" t="b">
        <v>0</v>
      </c>
      <c r="M137" s="5" t="inlineStr">
        <is>
          <t>factual</t>
        </is>
      </c>
      <c r="N137" s="5" t="inlineStr">
        <is>
          <t>easy</t>
        </is>
      </c>
      <c r="O137" s="5" t="inlineStr">
        <is>
          <t>teaching_learning</t>
        </is>
      </c>
      <c r="P137" s="5" t="n">
        <v>5</v>
      </c>
      <c r="Q137" s="5" t="b">
        <v>1</v>
      </c>
      <c r="R137" s="5" t="inlineStr">
        <is>
          <t>The answer directly restates the evidence, using 'argued' in place of 'pointed out', and adds no unsupported content. | The question names the specific study (Kim et al., 2022) and its topic, so it is understandable without the source.</t>
        </is>
      </c>
      <c r="S137" s="5" t="inlineStr">
        <is>
          <t>According to Kim et al. (2022), what should the integration of AI in education rest on?</t>
        </is>
      </c>
      <c r="T137" s="5" t="inlineStr">
        <is>
          <t>What curriculum foundation did Kim et al. (2022) say AI integration in education requires?</t>
        </is>
      </c>
      <c r="U137" s="5" t="inlineStr"/>
      <c r="V137" s="5" t="inlineStr"/>
      <c r="W137" s="5" t="inlineStr"/>
      <c r="X137" s="5" t="inlineStr">
        <is>
          <t>extra:assessment</t>
        </is>
      </c>
      <c r="Y137" s="5" t="inlineStr">
        <is>
          <t>ethical-and-pedagogical-implications-of-ai-in:0011:q3</t>
        </is>
      </c>
    </row>
    <row r="138">
      <c r="A138" s="5" t="n">
        <v>137</v>
      </c>
      <c r="B138" s="5" t="b">
        <v>0</v>
      </c>
      <c r="C138" s="6" t="n"/>
      <c r="D138" s="6" t="n"/>
      <c r="E138" s="5" t="n"/>
      <c r="F138" s="5" t="inlineStr">
        <is>
          <t>In the Digital Education Council Global AI Faculty Survey 2025, what percentage of faculty see AI as an opportunity in education?</t>
        </is>
      </c>
      <c r="G138" s="5" t="inlineStr">
        <is>
          <t>65% of faculty see AI as an opportunity in education.</t>
        </is>
      </c>
      <c r="H138" s="5" t="inlineStr">
        <is>
          <t>Higher Education in the Arab World, p. 97</t>
        </is>
      </c>
      <c r="I138" s="5" t="inlineStr">
        <is>
          <t>65% of faculty see AI as an opportunity in education</t>
        </is>
      </c>
      <c r="J138" s="5" t="b">
        <v>1</v>
      </c>
      <c r="K138" s="5" t="inlineStr"/>
      <c r="L138" s="5" t="b">
        <v>1</v>
      </c>
      <c r="M138" s="5" t="inlineStr">
        <is>
          <t>factual</t>
        </is>
      </c>
      <c r="N138" s="5" t="inlineStr">
        <is>
          <t>easy</t>
        </is>
      </c>
      <c r="O138" s="5" t="inlineStr">
        <is>
          <t>faculty_readiness</t>
        </is>
      </c>
      <c r="P138" s="5" t="n">
        <v>5</v>
      </c>
      <c r="Q138" s="5" t="b">
        <v>1</v>
      </c>
      <c r="R138" s="5" t="inlineStr">
        <is>
          <t>The answer restates the evidence verbatim: 65% of faculty see AI as an opportunity in education. | The question names the specific survey and asks for a clear statistic, with no reference to unseen context.</t>
        </is>
      </c>
      <c r="S138" s="5" t="inlineStr">
        <is>
          <t>What share of faculty in the 2025 Digital Education Council Global AI Faculty Survey view AI as an educational opportunity?</t>
        </is>
      </c>
      <c r="T138" s="5" t="inlineStr">
        <is>
          <t>According to the Digital Education Council Global AI Faculty Survey 2025, what proportion of faculty regard AI as an opportunity in education?</t>
        </is>
      </c>
      <c r="U138" s="5" t="inlineStr">
        <is>
          <t>In the Digital Education Council Global AI Faculty Survey 2025, what percentage of faculty see AI as an opportunity in education, and what percentage have already used AI in teaching?</t>
        </is>
      </c>
      <c r="V138" s="5" t="inlineStr">
        <is>
          <t>The survey found that 65% of faculty see AI as an opportunity in education, and 61% have already used AI in teaching. Additionally, 64% expect significant or transformative change to the instructor's role.</t>
        </is>
      </c>
      <c r="W138" s="5" t="inlineStr">
        <is>
          <t>grounding(2). The evidence supports only the 65% figure. The claims that 61% have used AI in teaching and that 64% expect significant change to the instructor's role do not appear in the evidence. The question names the specific survey by title and year and clearly asks for two percentages, so it needs no unseen context.</t>
        </is>
      </c>
      <c r="X138" s="5" t="inlineStr">
        <is>
          <t>extra:faculty_readiness</t>
        </is>
      </c>
      <c r="Y138" s="5" t="inlineStr">
        <is>
          <t>higher-education-in-arab:0053:q2</t>
        </is>
      </c>
    </row>
    <row r="139">
      <c r="A139" s="5" t="n">
        <v>138</v>
      </c>
      <c r="B139" s="5" t="b">
        <v>0</v>
      </c>
      <c r="C139" s="6" t="n"/>
      <c r="D139" s="6" t="n"/>
      <c r="E139" s="5" t="n"/>
      <c r="F139" s="5" t="inlineStr">
        <is>
          <t>Why have chat bots been used as first-level assistants for students, and how can they get better over time?</t>
        </is>
      </c>
      <c r="G139" s="5" t="inlineStr">
        <is>
          <t>Chat bots are used as 24x7 available first-level assistants. They can progressively get better at addressing end-user questions by enriching the Q+A database and through improvements in conversational AI.</t>
        </is>
      </c>
      <c r="H139" s="5" t="inlineStr">
        <is>
          <t>Augmented Education in the Global Age: Artificial Intelligence and the Future of Learning and Work, p. 147</t>
        </is>
      </c>
      <c r="I139" s="5" t="inlineStr">
        <is>
          <t>Chat bots are therefore being used as 24 × 7 available first-level assistants that can progressively get better at addressing enduser questions, by enriching the Q+A database and through improvements in conversational AI</t>
        </is>
      </c>
      <c r="J139" s="5" t="b">
        <v>1</v>
      </c>
      <c r="K139" s="5" t="inlineStr"/>
      <c r="L139" s="5" t="b">
        <v>0</v>
      </c>
      <c r="M139" s="5" t="inlineStr">
        <is>
          <t>explanation</t>
        </is>
      </c>
      <c r="N139" s="5" t="inlineStr">
        <is>
          <t>medium</t>
        </is>
      </c>
      <c r="O139" s="5" t="inlineStr">
        <is>
          <t>procurement_technology</t>
        </is>
      </c>
      <c r="P139" s="5" t="n">
        <v>5</v>
      </c>
      <c r="Q139" s="5" t="b">
        <v>1</v>
      </c>
      <c r="R139" s="5" t="inlineStr">
        <is>
          <t>The answer closely restates the evidence sentence: 24x7 first-level assistants that improve by enriching the Q+A database and through advances in conversational AI. It adds no extra claims. | The question is self-contained and uses no references to an unseen source or undefined terms.</t>
        </is>
      </c>
      <c r="S139" s="5" t="inlineStr">
        <is>
          <t>Why are chat bots deployed as first-level student assistants, and how do they progressively improve?</t>
        </is>
      </c>
      <c r="T139" s="5" t="inlineStr">
        <is>
          <t>For what reason are chat bots deployed as a first line of support for students, and how are they able to improve as time goes on?</t>
        </is>
      </c>
      <c r="U139" s="5" t="inlineStr"/>
      <c r="V139" s="5" t="inlineStr"/>
      <c r="W139" s="5" t="inlineStr"/>
      <c r="X139" s="5" t="inlineStr">
        <is>
          <t>extra:procurement_technology</t>
        </is>
      </c>
      <c r="Y139" s="5" t="inlineStr">
        <is>
          <t>daniel-araya-peter-2023-augmented-education-in:0075:q2</t>
        </is>
      </c>
    </row>
    <row r="140">
      <c r="A140" s="5" t="n">
        <v>139</v>
      </c>
      <c r="B140" s="5" t="b">
        <v>0</v>
      </c>
      <c r="C140" s="6" t="n"/>
      <c r="D140" s="6" t="n"/>
      <c r="E140" s="5" t="n"/>
      <c r="F140" s="5" t="inlineStr">
        <is>
          <t>Why did AIR, EDUCAUSE and NACUBO say data should be treated as a strategic institutional asset?</t>
        </is>
      </c>
      <c r="G140" s="5" t="inlineStr">
        <is>
          <t>They stated a strong belief that using data to better understand students and operations paves the way to innovative approaches for improved student recruiting, better student outcomes, greater institutional efficiency and cost-containment. On that basis they said data are an institutional strategic asset and should be used as such.</t>
        </is>
      </c>
      <c r="H140" s="5" t="inlineStr">
        <is>
          <t>Augmented Education in the Global Age: Artificial Intelligence and the Future of Learning and Work, p. 146</t>
        </is>
      </c>
      <c r="I140" s="5" t="inlineStr">
        <is>
          <t>We strongly believe that using data to better understand our students and our own operations paves the way to developing new, innovative approaches for improved student recruiting, better student outcomes, greater institutional efficiency, and cost-containment, and much more. Data are an institutional strategic asset and should be used as such.</t>
        </is>
      </c>
      <c r="J140" s="5" t="b">
        <v>1</v>
      </c>
      <c r="K140" s="5" t="inlineStr"/>
      <c r="L140" s="5" t="b">
        <v>0</v>
      </c>
      <c r="M140" s="5" t="inlineStr">
        <is>
          <t>explanation</t>
        </is>
      </c>
      <c r="N140" s="5" t="inlineStr">
        <is>
          <t>medium</t>
        </is>
      </c>
      <c r="O140" s="5" t="inlineStr">
        <is>
          <t>leadership_strategy</t>
        </is>
      </c>
      <c r="P140" s="5" t="n">
        <v>4</v>
      </c>
      <c r="Q140" s="5" t="b">
        <v>1</v>
      </c>
      <c r="R140" s="5" t="inlineStr">
        <is>
          <t>The answer closely restates the evidence. It adds the connective 'on that basis' and drops 'and much more'. The quoted passage itself does not name AIR, EDUCAUSE or NACUBO as the speakers. | The question names specific organizations by their widely used acronyms and asks about a clear claim. It does not refer to unseen context.</t>
        </is>
      </c>
      <c r="S140" s="5" t="inlineStr">
        <is>
          <t>What reasoning did AIR, EDUCAUSE and NACUBO give for treating data as a strategic asset of institutions?</t>
        </is>
      </c>
      <c r="T140" s="5" t="inlineStr">
        <is>
          <t>Why do AIR, EDUCAUSE and NACUBO jointly consider institutional data a strategic asset?</t>
        </is>
      </c>
      <c r="U140" s="5" t="inlineStr"/>
      <c r="V140" s="5" t="inlineStr"/>
      <c r="W140" s="5" t="inlineStr"/>
      <c r="X140" s="5" t="inlineStr">
        <is>
          <t>extra:procurement_technology</t>
        </is>
      </c>
      <c r="Y140" s="5" t="inlineStr">
        <is>
          <t>daniel-araya-peter-2023-augmented-education-in:0075:q3</t>
        </is>
      </c>
    </row>
    <row r="141">
      <c r="A141" s="5" t="n">
        <v>140</v>
      </c>
      <c r="B141" s="5" t="b">
        <v>0</v>
      </c>
      <c r="C141" s="6" t="n"/>
      <c r="D141" s="6" t="n"/>
      <c r="E141" s="5" t="n"/>
      <c r="F141" s="5" t="inlineStr">
        <is>
          <t>What results does Discourse Analytics report for its nudging platform in terms of retention, enrollment yield and mastery?</t>
        </is>
      </c>
      <c r="G141" s="5" t="inlineStr">
        <is>
          <t>Discourse Analytics reports a retention lift of 22%, an increase in enrollment yield of 63%, and acceleration of mastery by 25%.</t>
        </is>
      </c>
      <c r="H141" s="5" t="inlineStr">
        <is>
          <t>Augmented Education in the Global Age: Artificial Intelligence and the Future of Learning and Work, p. 146</t>
        </is>
      </c>
      <c r="I141" s="5" t="inlineStr">
        <is>
          <t>The results transform outcomes and include retention lift of 22%, increase in enrollment yield of 63%, and accelerating mastery by 25%.</t>
        </is>
      </c>
      <c r="J141" s="5" t="b">
        <v>1</v>
      </c>
      <c r="K141" s="5" t="inlineStr"/>
      <c r="L141" s="5" t="b">
        <v>0</v>
      </c>
      <c r="M141" s="5" t="inlineStr">
        <is>
          <t>factual</t>
        </is>
      </c>
      <c r="N141" s="5" t="inlineStr">
        <is>
          <t>easy</t>
        </is>
      </c>
      <c r="O141" s="5" t="inlineStr">
        <is>
          <t>monitoring_improvement</t>
        </is>
      </c>
      <c r="P141" s="5" t="n">
        <v>4</v>
      </c>
      <c r="Q141" s="5" t="b">
        <v>1</v>
      </c>
      <c r="R141" s="5" t="inlineStr">
        <is>
          <t>The figures (22% retention lift, 63% enrollment yield increase, 25% mastery acceleration) match the evidence. The quoted excerpt does not itself name Discourse Analytics or a nudging platform, but the attribution is presumably established by surrounding context, so the answer amounts to minor rewording. | The question names Discourse Analytics and its nudging platform explicitly and does not refer to any unseen text.</t>
        </is>
      </c>
      <c r="S141" s="5" t="inlineStr">
        <is>
          <t>What outcome figures does Discourse Analytics claim for retention, enrollment yield and mastery?</t>
        </is>
      </c>
      <c r="T141" s="5" t="inlineStr">
        <is>
          <t>What retention lift, enrollment yield increase and mastery acceleration does the Discourse Analytics nudging platform report?</t>
        </is>
      </c>
      <c r="U141" s="5" t="inlineStr"/>
      <c r="V141" s="5" t="inlineStr"/>
      <c r="W141" s="5" t="inlineStr"/>
      <c r="X141" s="5" t="inlineStr">
        <is>
          <t>extra:procurement_technology</t>
        </is>
      </c>
      <c r="Y141" s="5" t="inlineStr">
        <is>
          <t>daniel-araya-peter-2023-augmented-education-in:0075:q4</t>
        </is>
      </c>
    </row>
  </sheetData>
  <autoFilter ref="A1:Y141"/>
  <conditionalFormatting sqref="C2:C141">
    <cfRule type="expression" priority="1" dxfId="0">
      <formula>$C2="accept"</formula>
    </cfRule>
    <cfRule type="expression" priority="2" dxfId="1">
      <formula>$C2="reject"</formula>
    </cfRule>
  </conditionalFormatting>
  <conditionalFormatting sqref="A2:B141">
    <cfRule type="expression" priority="3" dxfId="2">
      <formula>$B2=TRUE</formula>
    </cfRule>
  </conditionalFormatting>
  <dataValidations count="2">
    <dataValidation sqref="C2:C141" showDropDown="0" showInputMessage="0" showErrorMessage="0" allowBlank="1" type="list">
      <formula1>"accept,reject"</formula1>
    </dataValidation>
    <dataValidation sqref="D2:D141" showDropDown="0" showInputMessage="0" showErrorMessage="0" allowBlank="1" type="list">
      <formula1>"incorrect,unsupported,not_standalone,low_value,unclear,other"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8" customWidth="1" min="1" max="1"/>
    <col width="16" customWidth="1" min="2" max="2"/>
    <col width="16" customWidth="1" min="3" max="3"/>
  </cols>
  <sheetData>
    <row r="1">
      <c r="A1" s="7" t="inlineStr">
        <is>
          <t>Review progress</t>
        </is>
      </c>
    </row>
    <row r="2">
      <c r="A2" s="8" t="inlineStr">
        <is>
          <t>Rows reviewed</t>
        </is>
      </c>
      <c r="B2" s="9">
        <f>COUNTIF(Review!$C$2:$C$141,"accept")+COUNTIF(Review!$C$2:$C$141,"reject")</f>
        <v/>
      </c>
    </row>
    <row r="3">
      <c r="A3" s="8" t="inlineStr">
        <is>
          <t>Priority rows reviewed (of 40)</t>
        </is>
      </c>
      <c r="B3" s="9">
        <f>COUNTIFS(Review!$B$2:$B$141,TRUE,Review!$C$2:$C$141,"accept")+COUNTIFS(Review!$B$2:$B$141,TRUE,Review!$C$2:$C$141,"reject")</f>
        <v/>
      </c>
    </row>
    <row r="4">
      <c r="A4" s="8" t="inlineStr">
        <is>
          <t>Human accept rate</t>
        </is>
      </c>
      <c r="B4" s="10">
        <f>IFERROR(COUNTIF(Review!$C$2:$C$141,"accept")/B2,"")</f>
        <v/>
      </c>
    </row>
    <row r="5">
      <c r="A5" s="8" t="inlineStr">
        <is>
          <t>Human accept rate among filter-passed pairs</t>
        </is>
      </c>
      <c r="B5" s="10">
        <f>IFERROR(B9/(B9+C9),"")</f>
        <v/>
      </c>
    </row>
    <row r="6">
      <c r="A6" s="8" t="inlineStr">
        <is>
          <t>Human accept rate among repaired pairs that passed</t>
        </is>
      </c>
      <c r="B6" s="10">
        <f>IFERROR(COUNTIFS(Review!$L$2:$L$141,TRUE,Review!$J$2:$J$141,TRUE,Review!$C$2:$C$141,"accept")/(COUNTIFS(Review!$L$2:$L$141,TRUE,Review!$J$2:$J$141,TRUE,Review!$C$2:$C$141,"accept")+COUNTIFS(Review!$L$2:$L$141,TRUE,Review!$J$2:$J$141,TRUE,Review!$C$2:$C$141,"reject")),"")</f>
        <v/>
      </c>
    </row>
    <row r="8">
      <c r="A8" s="7" t="inlineStr">
        <is>
          <t>Confusion matrix (reviewed rows only)</t>
        </is>
      </c>
      <c r="B8" s="11" t="inlineStr">
        <is>
          <t>Human accept</t>
        </is>
      </c>
      <c r="C8" s="11" t="inlineStr">
        <is>
          <t>Human reject</t>
        </is>
      </c>
    </row>
    <row r="9">
      <c r="A9" s="8" t="inlineStr">
        <is>
          <t>Filters passed</t>
        </is>
      </c>
      <c r="B9" s="9">
        <f>COUNTIFS(Review!$J$2:$J$141,TRUE,Review!$C$2:$C$141,"accept")</f>
        <v/>
      </c>
      <c r="C9" s="9">
        <f>COUNTIFS(Review!$J$2:$J$141,TRUE,Review!$C$2:$C$141,"reject")</f>
        <v/>
      </c>
    </row>
    <row r="10">
      <c r="A10" s="8" t="inlineStr">
        <is>
          <t>Filters rejected</t>
        </is>
      </c>
      <c r="B10" s="9">
        <f>COUNTIFS(Review!$J$2:$J$141,FALSE,Review!$C$2:$C$141,"accept")</f>
        <v/>
      </c>
      <c r="C10" s="9">
        <f>COUNTIFS(Review!$J$2:$J$141,FALSE,Review!$C$2:$C$141,"reject")</f>
        <v/>
      </c>
    </row>
    <row r="12">
      <c r="A12" s="8" t="inlineStr">
        <is>
          <t>Observed agreement</t>
        </is>
      </c>
      <c r="B12" s="10">
        <f>IFERROR((B9+C10)/(B9+C9+B10+C10),"")</f>
        <v/>
      </c>
    </row>
    <row r="13">
      <c r="A13" s="8" t="inlineStr">
        <is>
          <t>Cohen's kappa</t>
        </is>
      </c>
      <c r="B13" s="12">
        <f>IFERROR(((B9+C10)/(B9+C9+B10+C10)-((B9+C9)*(B9+B10)+(B10+C10)*(C9+C10))/(B9+C9+B10+C10)^2)/(1-((B9+C9)*(B9+B10)+(B10+C10)*(C9+C10))/(B9+C9+B10+C10)^2),"")</f>
        <v/>
      </c>
    </row>
    <row r="15">
      <c r="A15" s="7" t="inlineStr">
        <is>
          <t>Human reject categories</t>
        </is>
      </c>
    </row>
    <row r="16">
      <c r="A16" s="8" t="inlineStr">
        <is>
          <t>incorrect</t>
        </is>
      </c>
      <c r="B16" s="9">
        <f>COUNTIF(Review!$D$2:$D$141,"incorrect")</f>
        <v/>
      </c>
    </row>
    <row r="17">
      <c r="A17" s="8" t="inlineStr">
        <is>
          <t>unsupported</t>
        </is>
      </c>
      <c r="B17" s="9">
        <f>COUNTIF(Review!$D$2:$D$141,"unsupported")</f>
        <v/>
      </c>
    </row>
    <row r="18">
      <c r="A18" s="8" t="inlineStr">
        <is>
          <t>not_standalone</t>
        </is>
      </c>
      <c r="B18" s="9">
        <f>COUNTIF(Review!$D$2:$D$141,"not_standalone")</f>
        <v/>
      </c>
    </row>
    <row r="19">
      <c r="A19" s="8" t="inlineStr">
        <is>
          <t>low_value</t>
        </is>
      </c>
      <c r="B19" s="9">
        <f>COUNTIF(Review!$D$2:$D$141,"low_value")</f>
        <v/>
      </c>
    </row>
    <row r="20">
      <c r="A20" s="8" t="inlineStr">
        <is>
          <t>unclear</t>
        </is>
      </c>
      <c r="B20" s="9">
        <f>COUNTIF(Review!$D$2:$D$141,"unclear")</f>
        <v/>
      </c>
    </row>
    <row r="21">
      <c r="A21" s="8" t="inlineStr">
        <is>
          <t>other</t>
        </is>
      </c>
      <c r="B21" s="9">
        <f>COUNTIF(Review!$D$2:$D$141,"other")</f>
        <v/>
      </c>
    </row>
    <row r="23">
      <c r="A23" s="8" t="inlineStr">
        <is>
          <t>Rows 9-10 = automatic filter decision; columns B-C = your verdict. Kappa above ~0.6 means the judge broadly matches your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2026-10-03T14:09:49Z</dcterms:created>
  <dcterms:modified xmlns:dcterms="http://purl.org/dc/terms/" xmlns:xsi="http://www.w3.org/2001/XMLSchema-instance" xsi:type="dcterms:W3CDTF">2026-10-03T14:09:49Z</dcterms:modified>
</cp:coreProperties>
</file>