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Instructions" sheetId="1" state="visible" r:id="rId3"/>
    <sheet name="Review" sheetId="2" state="visible" r:id="rId4"/>
    <sheet name="Agreement" sheetId="3" state="visible" r:id="rId5"/>
  </sheets>
  <definedNames>
    <definedName function="false" hidden="true" localSheetId="1" name="_xlnm._FilterDatabase" vbProcedure="false">Review!$A$1:$S$101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<sst xmlns="http://schemas.openxmlformats.org/spreadsheetml/2006/main" count="1085" uniqueCount="778">
  <si>
    <t xml:space="preserve">Pilot v1 QA review</t>
  </si>
  <si>
    <t xml:space="preserve">What to do</t>
  </si>
  <si>
    <t xml:space="preserve">1. Go to the Review sheet. Rows marked priority = TRUE (top 40, highlighted) are a stratified sample: 25 passed + 15 rejected pairs across all question types and reject reasons. Review those first; the rest are optional.</t>
  </si>
  <si>
    <t xml:space="preserve">2. For each row, read the question, answer and evidence, then pick accept or reject in human_verdict (yellow column, dropdown).</t>
  </si>
  <si>
    <t xml:space="preserve">3. If you reject, pick a reject_category (dropdown) and add a few words in human_notes.</t>
  </si>
  <si>
    <t xml:space="preserve">4. The Agreement sheet updates automatically: your accept rate and how often you agree with the automatic filters.</t>
  </si>
  <si>
    <t xml:space="preserve">Accept a pair only if all three are true</t>
  </si>
  <si>
    <t xml:space="preserve">Correct: the answer is fully supported by the evidence, with nothing added.</t>
  </si>
  <si>
    <t xml:space="preserve">Standalone: the question makes sense to someone who has never seen the source.</t>
  </si>
  <si>
    <t xml:space="preserve">Worth learning: it is about the domain (responsible AI, higher education), not trivia or study methodology.</t>
  </si>
  <si>
    <t xml:space="preserve">Reject categories</t>
  </si>
  <si>
    <t xml:space="preserve">incorrect — answer contradicts or misreads the evidence</t>
  </si>
  <si>
    <t xml:space="preserve">unsupported — answer adds claims the evidence does not make</t>
  </si>
  <si>
    <t xml:space="preserve">not_standalone — question depends on unseen context ("the study", "this chapter")</t>
  </si>
  <si>
    <t xml:space="preserve">low_value — trivial, methodology, bibliographic or appendix detail</t>
  </si>
  <si>
    <t xml:space="preserve">unclear — question or answer is ambiguous or badly worded</t>
  </si>
  <si>
    <t xml:space="preserve">other — explain in human_notes</t>
  </si>
  <si>
    <t xml:space="preserve">When done</t>
  </si>
  <si>
    <t xml:space="preserve">Save this file (keep .xlsx). Copy it into the project, e.g. data/qa_pairs/pilot_review_v1_reviewed.xlsx, and tell Claude Code to merge human_verdict, reject_category and human_notes into its review data by qa_id (sheet "Review").</t>
  </si>
  <si>
    <t xml:space="preserve">#</t>
  </si>
  <si>
    <t xml:space="preserve">priority</t>
  </si>
  <si>
    <t xml:space="preserve">human_verdict</t>
  </si>
  <si>
    <t xml:space="preserve">reject_category</t>
  </si>
  <si>
    <t xml:space="preserve">human_notes</t>
  </si>
  <si>
    <t xml:space="preserve">question</t>
  </si>
  <si>
    <t xml:space="preserve">answer</t>
  </si>
  <si>
    <t xml:space="preserve">evidence</t>
  </si>
  <si>
    <t xml:space="preserve">passed_filters</t>
  </si>
  <si>
    <t xml:space="preserve">reject_reason</t>
  </si>
  <si>
    <t xml:space="preserve">q_type</t>
  </si>
  <si>
    <t xml:space="preserve">difficulty</t>
  </si>
  <si>
    <t xml:space="preserve">dimension</t>
  </si>
  <si>
    <t xml:space="preserve">grounding</t>
  </si>
  <si>
    <t xml:space="preserve">standalone</t>
  </si>
  <si>
    <t xml:space="preserve">judge_rationale</t>
  </si>
  <si>
    <t xml:space="preserve">paraphrase_1</t>
  </si>
  <si>
    <t xml:space="preserve">paraphrase_2</t>
  </si>
  <si>
    <t xml:space="preserve">qa_id</t>
  </si>
  <si>
    <t xml:space="preserve">How many students are enrolled in Argentina's university system, and what share of them attend state-run institutions?</t>
  </si>
  <si>
    <t xml:space="preserve">Argentina's university system enrolls about 2,164,500 students. Of these, 93% are undergraduate students, and about 80% are in state-run institutions, whether national or provincial. (Socially Responsible Higher Education, p. 50)</t>
  </si>
  <si>
    <t xml:space="preserve">Considering the population, the Argentine university system brings together 2,164,500 students, of which 93% are undergraduate students, and about 80% are in state-run institutions (national or provincial).</t>
  </si>
  <si>
    <t xml:space="preserve">factual</t>
  </si>
  <si>
    <t xml:space="preserve">easy</t>
  </si>
  <si>
    <t xml:space="preserve">general</t>
  </si>
  <si>
    <t xml:space="preserve">Every claim in the answer is stated directly in the evidence: 2,164,500 students, 93% undergraduate, and about 80% in state-run institutions, whether national or provincial.</t>
  </si>
  <si>
    <t xml:space="preserve">What is the total enrollment of the Argentine university system, and roughly what proportion is in state-run institutions?</t>
  </si>
  <si>
    <t xml:space="preserve">How large is the student population of Argentine universities, and what percentage studies in national or provincial public institutions?</t>
  </si>
  <si>
    <t xml:space="preserve">budd-l-hall-rajesh-2021-socially-responsible:0027:q0</t>
  </si>
  <si>
    <t xml:space="preserve">Why are dropout rates in Argentine higher education especially high among young people from lower-income backgrounds?</t>
  </si>
  <si>
    <t xml:space="preserve">Dropout levels are high, particularly for young people from lower-income socioeconomic sectors. The reason given is that higher education is associated with the cultural capital of the family. It also depends on whether young people have been able to access quality high school education. (Socially Responsible Higher Education, p. 50)</t>
  </si>
  <si>
    <t xml:space="preserve">However, as García de Fanelli (2014, p. 290) points out, levels of abandonment are high, particularly for young people from lower-income socioeconomic sectors, given that "[higher education] is associated with the cultural capital of the family and with the possibilities of young people having access to quality high school education".</t>
  </si>
  <si>
    <t xml:space="preserve">explanation</t>
  </si>
  <si>
    <t xml:space="preserve">medium</t>
  </si>
  <si>
    <t xml:space="preserve">equity_accessibility</t>
  </si>
  <si>
    <t xml:space="preserve">Every claim in the answer is stated directly in the evidence. The answer gives the high abandonment among lower-income youth and attributes it to family cultural capital and to access to quality high school education.</t>
  </si>
  <si>
    <t xml:space="preserve">What explains the high levels of university abandonment among low-income young people in Argentina?</t>
  </si>
  <si>
    <t xml:space="preserve">Why do lower-income socioeconomic groups in Argentina leave higher education at high rates?</t>
  </si>
  <si>
    <t xml:space="preserve">budd-l-hall-rajesh-2021-socially-responsible:0027:q1</t>
  </si>
  <si>
    <t xml:space="preserve">Why is Brazil's higher education system characterized by heterogeneous institutions and unequal student access?</t>
  </si>
  <si>
    <t xml:space="preserve">The historical evolution of Brazil's national higher education system was marked by structuring inequalities in the country's economic, social and cultural formation. These inequalities were decisive in the complexity and heterogeneity of institutions. They also shaped the inequality of the students who accessed that level of schooling. (Socially Responsible Higher Education, p. 50)</t>
  </si>
  <si>
    <t xml:space="preserve">The historical evolution of the national system of higher education was marked by the structuring inequalities in Brazil's economic, social and cultural formation, which were decisive in the complexity and heterogeneity of institutions and in the inequality of the students who accessed that level of schooling.</t>
  </si>
  <si>
    <t xml:space="preserve">Every claim in the answer restates the evidence almost verbatim, including the structuring inequalities and their effects on institutions and students.</t>
  </si>
  <si>
    <t xml:space="preserve">What historical factors made Brazilian higher education institutions complex and its students unequal in access?</t>
  </si>
  <si>
    <t xml:space="preserve">How did Brazil's national formation shape the diversity of its institutions and inequality among its students?</t>
  </si>
  <si>
    <t xml:space="preserve">budd-l-hall-rajesh-2021-socially-responsible:0027:q3</t>
  </si>
  <si>
    <t xml:space="preserve">What have been the main inclusion policies of the Argentine university system?</t>
  </si>
  <si>
    <t xml:space="preserve">One of the main inclusion policies has been the territorial expansion of university offerings. It has also involved a sustained increase in enrollment. These have been accompanied by some scholarship and tutoring programmes for courses. (Socially Responsible Higher Education, p. 50)</t>
  </si>
  <si>
    <t xml:space="preserve">One of the main policies of inclusion in the Argentine university system has been the territorial expansion of offerings and the sustained increase in enrollment, along with some scholarship and tutoring programmes for courses.</t>
  </si>
  <si>
    <t xml:space="preserve">definition</t>
  </si>
  <si>
    <t xml:space="preserve">The answer matches the evidence closely. However, it splits a single "main policy" (territorial expansion plus increased enrollment, along with scholarships and tutoring) into separate items, which slightly reframes how the source groups them.</t>
  </si>
  <si>
    <t xml:space="preserve">Which policies have Argentina mainly used to promote inclusion in its universities?</t>
  </si>
  <si>
    <t xml:space="preserve">What does inclusion policy in Argentine higher education mainly consist of?</t>
  </si>
  <si>
    <t xml:space="preserve">budd-l-hall-rajesh-2021-socially-responsible:0027:q4</t>
  </si>
  <si>
    <t xml:space="preserve">In the Times Higher Education World University Rankings 2020, how many of the 'top 300' universities are located in Europe, North America, Australia and New Zealand?</t>
  </si>
  <si>
    <t xml:space="preserve">In the 2020 Times Higher Education World University Rankings, 270 of the 'top 300' universities (90%) are in Europe, North America, Australia and New Zealand. Of the remainder, 25 are from a small number of East Asian countries and only 5 are from the rest of the world. (Socially Responsible Higher Education, p. 95)</t>
  </si>
  <si>
    <t xml:space="preserve">of the purportedly 'top 300' universities in the world, 270 (90%) are located in Europe, North America, Australia and New Zealand. Of the remainder, 25 are from a small number of East Asian countries and there are only 5 from the rest of the world.</t>
  </si>
  <si>
    <t xml:space="preserve">The counts (270 of the top 300, 90%; 25 East Asian; 5 from the rest of the world) are directly stated. However, the quoted evidence never names the Times Higher Education 2020 rankings, so the answer's attribution to them rests only on the question's premise.</t>
  </si>
  <si>
    <t xml:space="preserve">How many of the 300 highest-ranked institutions in the 2020 Times Higher Education World University Rankings are in Europe, North America, Australia or New Zealand?</t>
  </si>
  <si>
    <t xml:space="preserve">In the 2020 THE world rankings' top 300, what number and share of universities come from Europe, North America, Australia and New Zealand?</t>
  </si>
  <si>
    <t xml:space="preserve">budd-l-hall-rajesh-2021-socially-responsible:0055:q0</t>
  </si>
  <si>
    <t xml:space="preserve">What does fairness require of a personalized learning AI system in education?</t>
  </si>
  <si>
    <t xml:space="preserve">Fairness requires the system to consider each student's individual needs and characteristics. It must also avoid reinforcing educational inequalities. (Towards Ethical and Socially Responsible Explainable AI, p. 68)</t>
  </si>
  <si>
    <t xml:space="preserve">Fairness requires the system to consider each student's individual needs and characteristics and avoid reinforcing educational inequalities</t>
  </si>
  <si>
    <t xml:space="preserve">Both claims, considering each student's individual needs and characteristics and avoiding reinforcing educational inequalities, are stated directly in the evidence.</t>
  </si>
  <si>
    <t xml:space="preserve">How is fairness characterized for personalized learning AI used with students?</t>
  </si>
  <si>
    <t xml:space="preserve">What must an educational personalized learning system do in order to be fair?</t>
  </si>
  <si>
    <t xml:space="preserve">towards-ethical:0028:q2</t>
  </si>
  <si>
    <t xml:space="preserve">Why does developing explainable AI require balancing transparency against confidentiality?</t>
  </si>
  <si>
    <t xml:space="preserve">AI systems often use sensitive or confidential data, such as personal or financial information, which must be protected from unauthorized access. At the same time, transparency is essential for building trust and ensuring that decisions are fair and unbiased. Ethical and socially responsible explainable AI must therefore balance the two. (Towards Ethical and Socially Responsible Explainable AI, p. 103)</t>
  </si>
  <si>
    <t xml:space="preserve">AI systems often involve sensitive or confidential data, such as personal or financial information, and these data must be protected from unauthorized access. However, transparency is also essential in building trust and ensuring that the decisions made by AI systems are fair and unbiased.</t>
  </si>
  <si>
    <t xml:space="preserve">governance</t>
  </si>
  <si>
    <t xml:space="preserve">Both the need to protect sensitive data and the role of transparency in trust and fairness are stated directly. The concluding 'must therefore balance the two' is an obvious inference from the quoted passage, not an explicit statement in it.</t>
  </si>
  <si>
    <t xml:space="preserve">What tension exists between transparency and confidentiality when building explainable AI systems?</t>
  </si>
  <si>
    <t xml:space="preserve">Why must designers of explainable AI weigh openness about decisions against protection of sensitive data?</t>
  </si>
  <si>
    <t xml:space="preserve">towards-ethical:0051:q0</t>
  </si>
  <si>
    <t xml:space="preserve">At what stage of their studies do almost all Peruvian law schools place legal clinical education, and what prerequisites are often required?</t>
  </si>
  <si>
    <t xml:space="preserve">Almost all Peruvian law schools implement legal clinical education towards the end of a student's education. They often require students to have passed a certain set of classes, usually related to procedural law, in order to participate. (Socially Responsible Higher Education, p. 222)</t>
  </si>
  <si>
    <t xml:space="preserve">almost all universities have chosen to implement legal clinical education towards the end of a student's education, often requiring them to have passed a certain set of classes (usually related to procedural law) in order to participate.</t>
  </si>
  <si>
    <t xml:space="preserve">teaching_learning</t>
  </si>
  <si>
    <t xml:space="preserve">The answer matches the evidence closely, but the evidence says "almost all universities" and never mentions Peru explicitly. Reading those universities as Peruvian law schools is a small inference from context.</t>
  </si>
  <si>
    <t xml:space="preserve">When in a Peruvian law student's education is clinical legal education usually offered, and what must they have passed first?</t>
  </si>
  <si>
    <t xml:space="preserve">What is the usual timing and prerequisite structure for legal clinics in Peruvian law schools?</t>
  </si>
  <si>
    <t xml:space="preserve">budd-l-hall-rajesh-2021-socially-responsible:0120:q3</t>
  </si>
  <si>
    <t xml:space="preserve">What proportion of 50 surveyed Peruvian universities in a 2017 ENARSU Network study treated social responsibility as a central pillar, and how many were incorporating it into curriculums and campus life?</t>
  </si>
  <si>
    <t xml:space="preserve">The 2017 ENARSU Network study found that only 43% of the 50 universities surveyed considered SRHEI a central pillar of their institution. Only 36% of the universities studied were incorporating it into curriculums and campus life. (Socially Responsible Higher Education, p. 220)</t>
  </si>
  <si>
    <t xml:space="preserve">a 2017 study by Peru's ENARSU Network (Network of the National Meeting on Social Responsibility in Higher Education) found that only 43% of the 50 universities surveyed considered SRHEI as a central pillar in their institution (Stojnic Chávez &amp; Jungbluth Melgar, 2017, p. 4). This last report also found that only 36% of universities studied were incorporating SRHEI into curriculums and campus life</t>
  </si>
  <si>
    <t xml:space="preserve">monitoring_improvement</t>
  </si>
  <si>
    <t xml:space="preserve">Both figures, 43% treating SRHEI as a central pillar and 36% incorporating it into curriculums and campus life, are stated directly in the evidence for the 2017 ENARSU study of 50 universities.</t>
  </si>
  <si>
    <t xml:space="preserve">In the 2017 ENARSU Network survey of 50 Peruvian universities, what percentages treated SRHEI as a central pillar and integrated it into curriculums and campus life?</t>
  </si>
  <si>
    <t xml:space="preserve">What did the 2017 ENARSU study report about Peruvian universities making social responsibility a central pillar and embedding it in curriculums and campus life?</t>
  </si>
  <si>
    <t xml:space="preserve">budd-l-hall-rajesh-2021-socially-responsible:0118:q4</t>
  </si>
  <si>
    <t xml:space="preserve">Why is it essential for AI systems to adhere to applicable laws and regulations?</t>
  </si>
  <si>
    <t xml:space="preserve">Ensuring that AI systems adhere to applicable laws and regulations is essential for protecting user rights. It also helps ensure fairness and prevents unintended consequences. (Towards Ethical and Socially Responsible Explainable AI, p. 171)</t>
  </si>
  <si>
    <t xml:space="preserve">Ensuring that AI systems adhere to applicable laws and regulations is essential for protecting user rights, ensuring fairness, and preventing unintended consequences [28].</t>
  </si>
  <si>
    <t xml:space="preserve">The evidence directly states every part of the answer: protecting user rights, ensuring fairness, and preventing unintended consequences.</t>
  </si>
  <si>
    <t xml:space="preserve">What is the importance of making sure AI systems comply with relevant laws and regulations?</t>
  </si>
  <si>
    <t xml:space="preserve">Why does legal and regulatory adherence matter for AI systems?</t>
  </si>
  <si>
    <t xml:space="preserve">towards-ethical:0090:q0</t>
  </si>
  <si>
    <t xml:space="preserve">Which two review questions in a PAGER scoping review of generative AI in nursing education address types of evidence and successful integration?</t>
  </si>
  <si>
    <t xml:space="preserve">The Evidence question asks what types of evidence exist regarding the use and outcomes of generative AI in nursing education. The Recommendations question asks what recommendations can be made to integrate generative AI in nursing education successfully. (Patterns, advances, and gaps in using ChatGPT and similar technologies in nursing education: A PAGER scoping review, p. 2)</t>
  </si>
  <si>
    <t xml:space="preserve">What types of evidence exist regarding the use and outcomes of GenAI in nursing education?
What recommendations can be made to integrate GenAI in nursing education successfully?</t>
  </si>
  <si>
    <t xml:space="preserve">Both questions are quoted almost verbatim in the evidence. The labels "Evidence" and "Recommendations" are not in the quoted text, but they are an obvious inference from the content of each question.</t>
  </si>
  <si>
    <t xml:space="preserve">What do the Evidence and Recommendations questions ask in a scoping review of generative AI in nursing education?</t>
  </si>
  <si>
    <t xml:space="preserve">In a PAGER review on generative AI in nursing education, how are the Evidence and Recommendations questions worded?</t>
  </si>
  <si>
    <t xml:space="preserve">patterns-advances-and-gaps-in-using-chatgpt-and:0003:q4</t>
  </si>
  <si>
    <t xml:space="preserve">What methodology did a scoping review of generative AI in nursing education follow to map and synthesise evidence, and where was its protocol registered?</t>
  </si>
  <si>
    <t xml:space="preserve">The review followed the JBI methodology for scoping reviews to map and synthesise evidence on generative AI in nursing education. Its protocol was registered in the Open Science Framework registry. (Patterns, advances, and gaps in using ChatGPT and similar technologies in nursing education: A PAGER scoping review, p. 2)</t>
  </si>
  <si>
    <t xml:space="preserve">We followed the JBI methodology for scoping reviews (Peters et al., 2020) to map and synthesise evidence on GenAI in nursing education. A protocol was registered in the Open Science Framework (OSF) registry (doi:10.17605/OSF.IO/PNUE8).</t>
  </si>
  <si>
    <t xml:space="preserve">Both claims, that the review followed the JBI scoping review methodology and that its protocol was registered in the OSF registry, are stated directly in the evidence.</t>
  </si>
  <si>
    <t xml:space="preserve">Which scoping review methodology guided a nursing-education generative AI review, and in which registry was its protocol recorded?</t>
  </si>
  <si>
    <t xml:space="preserve">What approach and registration did a review of generative AI in nursing education use for its protocol?</t>
  </si>
  <si>
    <t xml:space="preserve">patterns-advances-and-gaps-in-using-chatgpt-and:0004:q2</t>
  </si>
  <si>
    <t xml:space="preserve">What were the date, language, and topic restrictions used as inclusion and exclusion criteria in a scoping review of generative AI in nursing education?</t>
  </si>
  <si>
    <t xml:space="preserve">Only English-language publications from November 2022 to November 2024 were included. Studies focusing on general AI, non-generative-AI chatbots, or clinical practice outside educational settings were excluded. (Patterns, advances, and gaps in using ChatGPT and similar technologies in nursing education: A PAGER scoping review, p. 2)</t>
  </si>
  <si>
    <t xml:space="preserve">We included only English-language publications published between November 2022 and November 2024. Studies focusing on general AI, non-GenAI chatbots, or clinical practice outside educational settings were excluded.</t>
  </si>
  <si>
    <t xml:space="preserve">The evidence directly states every claim in the answer: the English-only restriction, the November 2022 to November 2024 window, and the three exclusion categories.</t>
  </si>
  <si>
    <t xml:space="preserve">Which publication dates, languages, and topics were included or excluded in a nursing-education generative AI scoping review?</t>
  </si>
  <si>
    <t xml:space="preserve">What limits on language, time period, and subject matter did a review of generative AI in nursing education apply?</t>
  </si>
  <si>
    <t xml:space="preserve">patterns-advances-and-gaps-in-using-chatgpt-and:0004:q3</t>
  </si>
  <si>
    <t xml:space="preserve">Why does nursing education need a comprehensive framework for generative AI use in assessment and clinical training?</t>
  </si>
  <si>
    <t xml:space="preserve">A comprehensive system is needed to balance innovation with academic integrity in nursing assessment and clinical training. Such a framework should also set clear data privacy and security standards and guidelines. It should ensure compliance with educational regulations. (Patterns, advances, and gaps in using ChatGPT and similar technologies in nursing education: A PAGER scoping review, p. 8)</t>
  </si>
  <si>
    <t xml:space="preserve">The findings indicate the necessity of establishing a comprehensive system that balances innovation with academic integrity in nursing assessment and clinical training. These frameworks should establish clear data privacy and security standards guidelines and ensure compliance with educational regulations (Foronda and Porter, 2024).</t>
  </si>
  <si>
    <t xml:space="preserve">Every claim in the answer is stated directly in the evidence: balancing innovation with academic integrity, setting data privacy and security standards, and ensuring compliance with educational regulations.</t>
  </si>
  <si>
    <t xml:space="preserve">What is the rationale for establishing a comprehensive generative AI framework in nursing assessment and clinical training?</t>
  </si>
  <si>
    <t xml:space="preserve">Why should nursing programs put in place an overarching system governing GenAI in assessment and clinical training?</t>
  </si>
  <si>
    <t xml:space="preserve">patterns-advances-and-gaps-in-using-chatgpt-and:0016:q0</t>
  </si>
  <si>
    <t xml:space="preserve">Which competencies do nursing education recommendations say should be developed for generative AI use, and why are they crucial?</t>
  </si>
  <si>
    <t xml:space="preserve">Technical and ethical competencies should be developed for GenAI use. They are crucial especially for upholding academic integrity and ensuring equitable student access. (Patterns, advances, and gaps in using ChatGPT and similar technologies in nursing education: A PAGER scoping review, p. 8)</t>
  </si>
  <si>
    <t xml:space="preserve">Systematic documentation and evaluation of implementation experiences will contribute to developing best practices. Developing technical and ethical competencies is crucial, especially for upholding academic integrity and ensuring equitable student access. Cross-institutional collaboration should be encouraged to share implementation strategies and lessons learned.</t>
  </si>
  <si>
    <t xml:space="preserve">student_ai_literacy</t>
  </si>
  <si>
    <t xml:space="preserve">The evidence directly states that developing technical and ethical competencies is crucial, especially for upholding academic integrity and ensuring equitable student access. That these competencies concern GenAI use and 'should be developed' is a reasonable inference from the context.</t>
  </si>
  <si>
    <t xml:space="preserve">What competencies for GenAI use should nursing education develop, and what are they important for?</t>
  </si>
  <si>
    <t xml:space="preserve">According to nursing education recommendations, why is developing technical and ethical GenAI competencies crucial?</t>
  </si>
  <si>
    <t xml:space="preserve">patterns-advances-and-gaps-in-using-chatgpt-and:0016:q4</t>
  </si>
  <si>
    <t xml:space="preserve">According to a PAGER scoping review of GenAI in nursing education, what should short-term training initiatives for faculty and students focus on?</t>
  </si>
  <si>
    <t xml:space="preserve">Short-term training initiatives should focus on developing AI literacy and digital proficiency among both faculty and students. They should also incorporate prompt engineering as an essential curriculum component. (Patterns, advances, and gaps in using ChatGPT and similar technologies in nursing education: A PAGER scoping review, p. 7)</t>
  </si>
  <si>
    <t xml:space="preserve">Short-term training initiatives should focus on developing AI literacy and digital proficiency among faculty and students, incorporating prompt engineering as an essential curriculum component (O'Connor et al., 2024).</t>
  </si>
  <si>
    <t xml:space="preserve">faculty_readiness</t>
  </si>
  <si>
    <t xml:space="preserve">The answer restates the evidence directly: AI literacy, digital proficiency, and prompt engineering as an essential curriculum component.</t>
  </si>
  <si>
    <t xml:space="preserve">In a scoping review of ChatGPT-type tools in nursing education, what do recommended short-term training initiatives aim to develop?</t>
  </si>
  <si>
    <t xml:space="preserve">What content should brief training programs in nursing education cover for faculty and students regarding generative AI?</t>
  </si>
  <si>
    <t xml:space="preserve">patterns-advances-and-gaps-in-using-chatgpt-and:0013:q0</t>
  </si>
  <si>
    <t xml:space="preserve">What do institutional recommendations for GenAI in nursing education say about equity and access?</t>
  </si>
  <si>
    <t xml:space="preserve">Institutions should develop policies and inclusive tools that ensure equity, access, and support for diverse user needs. Doing so can reduce language barriers and improve geographic access to resources. (Patterns, advances, and gaps in using ChatGPT and similar technologies in nursing education: A PAGER scoping review, p. 7)</t>
  </si>
  <si>
    <t xml:space="preserve">institutional recommendations include developing policies and inclusive tools to ensure equity, access, and support for diverse user needs (Abujaber et al., 2023), thereby reducing language barriers and improving geographic access to resources</t>
  </si>
  <si>
    <t xml:space="preserve">Every claim in the answer is directly stated in the evidence: policies and inclusive tools for equity, access, and diverse user needs, which reduce language barriers and improve geographic access.</t>
  </si>
  <si>
    <t xml:space="preserve">What should institutions do to ensure equity and access when adopting GenAI in nursing education?</t>
  </si>
  <si>
    <t xml:space="preserve">According to institutional recommendations for nursing education, what policies and tools support diverse user needs, and what benefits follow?</t>
  </si>
  <si>
    <t xml:space="preserve">patterns-advances-and-gaps-in-using-chatgpt-and:0013:q4</t>
  </si>
  <si>
    <t xml:space="preserve">Which research methods does a systematic review of generative AI in entrepreneurship education recommend for rigorously testing its influence across cultural and institutional contexts?</t>
  </si>
  <si>
    <t xml:space="preserve">The review suggests structural equation modeling (SEM), hierarchical linear modeling (HLM), and longitudinal mixed-methods designs. These are intended to test generative AI's influence rigorously across cultural and institutional contexts. (Toward understanding the role of generative AI in entrepreneurship education: A systematic review, p. 1)</t>
  </si>
  <si>
    <t xml:space="preserve">the review suggests methodological strategies, such as structural equation modeling (SEM), hierarchical linear modeling (HLM), and longitudinal mixed-methods designs, to test GAI's influence across cultural and institutional contexts rigorously.</t>
  </si>
  <si>
    <t xml:space="preserve">The evidence directly names SEM, HLM and longitudinal mixed-methods designs as the strategies for rigorously testing GAI's influence across cultural and institutional contexts.</t>
  </si>
  <si>
    <t xml:space="preserve">What methodological strategies are suggested for testing the influence of generative AI on entrepreneurship education in different cultural and institutional settings?</t>
  </si>
  <si>
    <t xml:space="preserve">Which analytic and study designs should researchers use to rigorously test generative AI's effects in entrepreneurship education across contexts?</t>
  </si>
  <si>
    <t xml:space="preserve">toward-understanding-the-role-of-generative-ai:0000:q1</t>
  </si>
  <si>
    <t xml:space="preserve">What learning outcomes should generative AI-integrated entrepreneurship curricula aim to foster beyond technical proficiency?</t>
  </si>
  <si>
    <t xml:space="preserve">Such curricula should foster critical thinking, creativity, and ethical reasoning in addition to technical proficiency. The review advocates designing generative AI-integrated curricula with these aims. (Toward understanding the role of generative AI in entrepreneurship education: A systematic review, p. 1)</t>
  </si>
  <si>
    <t xml:space="preserve">It advocates for designing GAI-integrated curricula that foster not only technical proficiency but also critical thinking, creativity, and ethical reasoning.</t>
  </si>
  <si>
    <t xml:space="preserve">The evidence directly states that the review advocates GAI-integrated curricula fostering critical thinking, creativity, and ethical reasoning beyond technical proficiency. The answer adds nothing beyond this.</t>
  </si>
  <si>
    <t xml:space="preserve">Besides technical skills, what capabilities should curricula that integrate generative AI in entrepreneurship education develop?</t>
  </si>
  <si>
    <t xml:space="preserve">What should entrepreneurship curricula using generative AI cultivate in addition to technical proficiency?</t>
  </si>
  <si>
    <t xml:space="preserve">toward-understanding-the-role-of-generative-ai:0000:q3</t>
  </si>
  <si>
    <t xml:space="preserve">A research team reviewing generative AI in education finds a 2019 paper on a prototype generative system whose functions were later built into tools like ChatGPT. Should the team consider it eligible, and why?</t>
  </si>
  <si>
    <t xml:space="preserve">Yes, it should be considered eligible. Earlier studies on algorithmic foundations, prototype generative systems, or theoretical frameworks directly relevant to functionalities later embodied in generative tools were eligible, especially those published before 2022 and the public release of platforms such as ChatGPT and DALL-E. The clarification was added to address ambiguity in the term 'Artificial Intelligence' in earlier studies. Eligibility still required generative functionality rather than generic AI use. (Toward understanding the role of generative AI in entrepreneurship education: A systematic review, p. 3)</t>
  </si>
  <si>
    <t xml:space="preserve">Earlier studies that focused on algorithmic foundations, prototype generative systems, or theoretical frameworks directly relevant to the functionalities later embodied in generative tools were considered eligible for inclusion particularly those published prior to 2022, before the public release of large-scale GAI platforms such as ChatGPT and DALL-E. … To further address the ambiguity surrounding the term "Artificial Intelligence" in studies published prior to the emergence of tools such as ChatGPT and DALL-E, we implemented an additional clarification during the full-text review phase. … Specifically, studies were retained only if they demonstrated a clear conceptual or technical alignment with the core characteristics of GAI including the use of generative adversarial networks (GANs), LLMs, transformer-based architectures, or neural networks specifically designed for content generation. In contrast, studies that referred to "Artificial Intelligence" in a broad or generic sense without involving generative functionalities were excluded.</t>
  </si>
  <si>
    <t xml:space="preserve">application</t>
  </si>
  <si>
    <t xml:space="preserve">hard</t>
  </si>
  <si>
    <t xml:space="preserve">Every claim in the answer is directly supported by the evidence: eligibility of earlier prototype or algorithmic studies, the pre-2022 timing, the clarification addressing ambiguity of 'Artificial Intelligence', and the requirement of generative functionality rather than generic AI use.</t>
  </si>
  <si>
    <t xml:space="preserve">A review team on generative AI finds a pre-2022 paper about a prototype generative system whose features later appeared in ChatGPT-like tools. Is it eligible for inclusion?</t>
  </si>
  <si>
    <t xml:space="preserve">Should a systematic review on generative AI include a 2019 study of algorithmic foundations of functionalities later embodied in tools such as ChatGPT and DALL-E?</t>
  </si>
  <si>
    <t xml:space="preserve">toward-understanding-the-role-of-generative-ai:0005:q3</t>
  </si>
  <si>
    <t xml:space="preserve">How many peer-reviewed papers did the systematic review of generative AI in entrepreneurship education analyze, and what limitation does this create?</t>
  </si>
  <si>
    <t xml:space="preserve">The review analyzed 50 selected peer-reviewed papers. Although these cover key applications, they may not fully capture the latest developments in a rapidly evolving field. (Toward understanding the role of generative AI in entrepreneurship education: A systematic review, p. 19)</t>
  </si>
  <si>
    <t xml:space="preserve">First, the analysis is based on 50 selected peer-reviewed papers, which, while covering key applications of GAI in EE, may not fully capture the latest developments in this rapidly evolving field. Potential publication bias may also lead to an overrepresentation of GAI's positive effects, while underreporting its drawbacks, such as increased student dependence, concerns about academic integrity, and ethical challenges.</t>
  </si>
  <si>
    <t xml:space="preserve">The answer's figure of 50 selected peer-reviewed papers and the limitation that they may not capture the latest developments in a rapidly evolving field are both stated directly in the evidence.</t>
  </si>
  <si>
    <t xml:space="preserve">What was the sample size of peer-reviewed papers in the systematic review of generative AI in entrepreneurship education, and why is that a limitation?</t>
  </si>
  <si>
    <t xml:space="preserve">The systematic review of generative AI in entrepreneurship education was based on how many peer-reviewed papers, and what weakness follows from this?</t>
  </si>
  <si>
    <t xml:space="preserve">toward-understanding-the-role-of-generative-ai:0033:q0</t>
  </si>
  <si>
    <t xml:space="preserve">Why might publication bias distort conclusions about generative AI in entrepreneurship education?</t>
  </si>
  <si>
    <t xml:space="preserve">Publication bias may lead to an overrepresentation of the positive effects of generative AI. At the same time, drawbacks such as increased student dependence, concerns about academic integrity, and ethical challenges may be underreported. (Toward understanding the role of generative AI in entrepreneurship education: A systematic review, p. 19)</t>
  </si>
  <si>
    <t xml:space="preserve">The answer directly restates the evidence: publication bias may overrepresent positive effects and underreport drawbacks like student dependence, academic integrity concerns, and ethical challenges.</t>
  </si>
  <si>
    <t xml:space="preserve">How could publication bias skew what is known about the effects of generative AI in entrepreneurship education?</t>
  </si>
  <si>
    <t xml:space="preserve">In what way does publication bias affect the picture of generative AI in entrepreneurship education?</t>
  </si>
  <si>
    <t xml:space="preserve">toward-understanding-the-role-of-generative-ai:0033:q1</t>
  </si>
  <si>
    <t xml:space="preserve">How do the methods used to build the Vuorkari et al. (2022) and Bekiaridis (2023) frameworks differ when integrating AI into digital literacy for citizens?</t>
  </si>
  <si>
    <t xml:space="preserve">Both frameworks integrate AI into broader digital literacy aimed at citizens. Vuorkari et al. applied multi-stakeholder consultations, expert workshops, and case studies. Bekiaridis instead used literature reviews, surveys, and interviews. (Be AIware! An AI Competency Model for K-12 Education, p. 3)</t>
  </si>
  <si>
    <t xml:space="preserve">Frameworks by Vuorkari et al. (2022) and Bekiaridis (2023) focused on integrating AI into broader digital literacy, aimed at citizens. Vuorkari et al. applied multi-stakeholder consultations, expert workshops, and case studies, while Bekiaridis used literature reviews, surveys, and interviews.</t>
  </si>
  <si>
    <t xml:space="preserve">Every statement in the answer is taken directly from the evidence: the shared focus on integrating AI into broader digital literacy for citizens, and each author's methods. No unsupported claims.</t>
  </si>
  <si>
    <t xml:space="preserve">What different approaches did Vuorkari et al. and Bekiaridis use to create citizen-oriented digital literacy frameworks that include AI?</t>
  </si>
  <si>
    <t xml:space="preserve">How did the development methods of two citizen digital literacy frameworks with AI, by Vuorkari et al. and Bekiaridis, compare?</t>
  </si>
  <si>
    <t xml:space="preserve">be-aiware-an-ai-competency-model-for-k-12:0004:q4</t>
  </si>
  <si>
    <t xml:space="preserve">By how many competencies was the AI competency model for K-12 education reduced during its three focus group rounds?</t>
  </si>
  <si>
    <t xml:space="preserve">The focus groups refined the competency list from 140 to 98 competencies. This was done by excluding duplicates and renaming some items. (Be AIware! An AI Competency Model for K-12 Education, p. 5)</t>
  </si>
  <si>
    <t xml:space="preserve">The second focus group, consisting of university teachers from diverse backgrounds, implemented more substantial changes influenced by their perspective on what students should know before entering university (Focus Group 2, personal communication, November 9, 2023). The third focus group, primarily including school teachers, largely agreed with the changes proposed by the university teachers (Focus Group 3, personal communication, March 7-8, 2024). This process resulted in refining the competencies from 140 to 98 by excluding duplicates and renaming some.</t>
  </si>
  <si>
    <t xml:space="preserve">The evidence directly states that the process refined the competencies from 140 to 98 by excluding duplicates and renaming some, which matches every claim in the answer.</t>
  </si>
  <si>
    <t xml:space="preserve">How many competencies remained after the focus groups refined the initial list in the K-12 AI competency model, and how many were there at the start?</t>
  </si>
  <si>
    <t xml:space="preserve">In the K-12 AI competency model's focus group refinement, what were the starting and ending numbers of competencies?</t>
  </si>
  <si>
    <t xml:space="preserve">be-aiware-an-ai-competency-model-for-k-12:0008:q0</t>
  </si>
  <si>
    <t xml:space="preserve">Which group of focus group participants made the most substantial changes to the draft K-12 AI competency list, and what perspective guided them?</t>
  </si>
  <si>
    <t xml:space="preserve">The second focus group, made up of university teachers from diverse backgrounds, implemented the more substantial changes. Their changes were influenced by their perspective on what students should know before entering university. The third focus group of mainly school teachers largely agreed with these changes. (Be AIware! An AI Competency Model for K-12 Education, p. 5)</t>
  </si>
  <si>
    <t xml:space="preserve">Every claim is stated directly in the evidence: the second group's composition, its more substantial changes, its pre-university perspective, and the third group's agreement.</t>
  </si>
  <si>
    <t xml:space="preserve">In developing a K-12 AI competency model, which focus group introduced the biggest changes, and what viewpoint influenced them?</t>
  </si>
  <si>
    <t xml:space="preserve">Who made the most significant revisions to the K-12 AI competency list during focus groups, and on what basis?</t>
  </si>
  <si>
    <t xml:space="preserve">be-aiware-an-ai-competency-model-for-k-12:0008:q1</t>
  </si>
  <si>
    <t xml:space="preserve">By how much did the number of private and public higher education institutions in Brazil grow between 2000 and 2018?</t>
  </si>
  <si>
    <t xml:space="preserve">Brazil's private institutions grew by 123%, from 1,004 to 2,238 institutions. Public institutions grew by 70%, from 176 to 299. (Socially Responsible Higher Education, p. 50)</t>
  </si>
  <si>
    <t xml:space="preserve">In the period from 2000 to 2018, the number of private institutions grew by 123%, from 1,004 to 2,238 institutions, whereas the number of public/state institutions grew by</t>
  </si>
  <si>
    <t xml:space="preserve">grounding(3)</t>
  </si>
  <si>
    <t xml:space="preserve">The private-institution figures (123%, 1,004 to 2,238) match the evidence. The evidence is cut off before any public-institution numbers, so the claim that public institutions grew by 70% from 176 to 299 is unsupported.</t>
  </si>
  <si>
    <t xml:space="preserve">What were the growth rates of private versus public higher education institutions in Brazil from 2000 to 2018?</t>
  </si>
  <si>
    <t xml:space="preserve">Between 2000 and 2018, how much did Brazil's private institutions expand compared with its public ones?</t>
  </si>
  <si>
    <t xml:space="preserve">budd-l-hall-rajesh-2021-socially-responsible:0027:q2</t>
  </si>
  <si>
    <t xml:space="preserve">What two sources can give rise to bias in AI systems used in fields such as healthcare, finance, criminal justice and education?</t>
  </si>
  <si>
    <t xml:space="preserve">Biases may arise from historical data, such as historical patient data in healthcare, or from a lack of diversity in the training data. These sources apply across domains including healthcare, finance, criminal justice and education. (Towards Ethical and Socially Responsible Explainable AI, p. 67)</t>
  </si>
  <si>
    <t xml:space="preserve">Biases may arise from historical patient data or a lack of diversity in training data</t>
  </si>
  <si>
    <t xml:space="preserve">The evidence supports historical patient data and a lack of diversity in training data as sources of bias. However, the claim that these sources apply across finance, criminal justice and education is not in the quoted evidence, which mentions only patient (healthcare) data.</t>
  </si>
  <si>
    <t xml:space="preserve">Where can biases in AI systems across healthcare, finance, criminal justice and education originate?</t>
  </si>
  <si>
    <t xml:space="preserve">Which two causes are named for bias in AI systems deployed in domains like education and healthcare?</t>
  </si>
  <si>
    <t xml:space="preserve">towards-ethical:0028:q0</t>
  </si>
  <si>
    <t xml:space="preserve">What is data masking in the context of balancing transparency and confidentiality in AI systems?</t>
  </si>
  <si>
    <t xml:space="preserve">Data masking is a technique in which confidential information is concealed in a way that does not affect the overall outcome of the decision-making process. It helps AI systems remain transparent about their decisions while still protecting confidential data. (Towards Ethical and Socially Responsible Explainable AI, p. 103)</t>
  </si>
  <si>
    <t xml:space="preserve">This can be achieved through techniques such as data masking, where confidential information is concealed in a way that does not affect the overall outcome of the decisionmaking process.</t>
  </si>
  <si>
    <t xml:space="preserve">privacy_security</t>
  </si>
  <si>
    <t xml:space="preserve">The definition of data masking (concealing confidential information without affecting the overall outcome of decision-making) is directly supported. However, the claim that it helps AI systems stay transparent about their decisions while protecting confidential data is not stated in the evidence. The quote only says 'This can be achieved', without identifying what 'this' refers to.</t>
  </si>
  <si>
    <t xml:space="preserve">How is data masking defined as a way to protect confidential information in AI decision-making?</t>
  </si>
  <si>
    <t xml:space="preserve">What does data masking mean when AI systems need to stay transparent while protecting confidential data?</t>
  </si>
  <si>
    <t xml:space="preserve">towards-ethical:0051:q2</t>
  </si>
  <si>
    <t xml:space="preserve">What did a 2018 URSULA study find about how Peruvian universities were performing in executing socially responsible initiatives?</t>
  </si>
  <si>
    <t xml:space="preserve">The 2018 URSULA study found that all 18 Peruvian universities surveyed had difficulty executing socially responsible initiatives. Their results were below the regional average. (Socially Responsible Higher Education, p. 220)</t>
  </si>
  <si>
    <t xml:space="preserve">a 2018 study by Unión de Responsabilidad Social Universitaria Latinoamericana - URSULA (Latin American Social Responsibility in Higher Education Union) found that all 18 Peruvian universities surveyed had difficulty in executing socially responsible initiatives, with results below the regional average (p. 17).</t>
  </si>
  <si>
    <t xml:space="preserve">not_standalone</t>
  </si>
  <si>
    <t xml:space="preserve">The evidence directly states both claims: all 18 surveyed Peruvian universities had difficulty executing socially responsible initiatives, and their results were below the regional average.</t>
  </si>
  <si>
    <t xml:space="preserve">According to a 2018 survey by the Latin American Social Responsibility in Higher Education Union, how did Peruvian universities fare in carrying out socially responsible initiatives?</t>
  </si>
  <si>
    <t xml:space="preserve">What were the results of the 2018 URSULA study on Peruvian universities' execution of social responsibility initiatives?</t>
  </si>
  <si>
    <t xml:space="preserve">budd-l-hall-rajesh-2021-socially-responsible:0118:q0</t>
  </si>
  <si>
    <t xml:space="preserve">Why has implementation of the social responsibility obligations in Peru's Law 30220 of 2014 been uneven and difficult?</t>
  </si>
  <si>
    <t xml:space="preserve">Implementation has been disparate and difficult largely because the Act was not accompanied by further regulations, policies or government-sponsored programmes. Without such accompanying support, universities were left to implement the obligations on their own. (Socially Responsible Higher Education, p. 220)</t>
  </si>
  <si>
    <t xml:space="preserve">However, the obligations set out in the Act have had a disparate and difficult implementation. This may be due in large part to the lack of further regulations, policies or government sponsored programmes to accompany the Act.</t>
  </si>
  <si>
    <t xml:space="preserve">The evidence supports the lack of further regulations, policies or government-sponsored programmes as a cause, though the source hedges with "may be due" and the answer states it as fact. The claim that universities were "left to implement the obligations on their own" is an added inference not stated in the evidence.</t>
  </si>
  <si>
    <t xml:space="preserve">What explains the disparate and difficult implementation of the social responsibility duties set out in Peru's 2014 university law?</t>
  </si>
  <si>
    <t xml:space="preserve">Why have Peruvian universities struggled to put the social responsibility obligations of Law 30220 into practice?</t>
  </si>
  <si>
    <t xml:space="preserve">budd-l-hall-rajesh-2021-socially-responsible:0118:q1</t>
  </si>
  <si>
    <t xml:space="preserve">How do ethical guidelines and practices strengthen the accountability of AI systems?</t>
  </si>
  <si>
    <t xml:space="preserve">Ethical guidelines and practices enhance accountability by addressing the broader societal impact of AI technologies. This extends accountability beyond what is strictly required by legal compliance. (Towards Ethical and Socially Responsible Explainable AI, pp. 171-172)</t>
  </si>
  <si>
    <t xml:space="preserve">Ethical guidelines and practices enhance accountability by addressing the broader societal impact of AI technologies. … Ensuring that AI systems adhere to applicable laws and regulations is essential for protecting user rights, ensuring fairness, and preventing unintended consequences [28].</t>
  </si>
  <si>
    <t xml:space="preserve">The first sentence is quoted directly from the evidence. The claim that ethics extends accountability beyond what legal compliance strictly requires is not stated; the evidence discusses legal compliance separately and never sets up that contrast.</t>
  </si>
  <si>
    <t xml:space="preserve">In what way do ethical guidelines contribute to AI accountability?</t>
  </si>
  <si>
    <t xml:space="preserve">What role do ethical practices play in making AI accountable?</t>
  </si>
  <si>
    <t xml:space="preserve">towards-ethical:0090:q1</t>
  </si>
  <si>
    <t xml:space="preserve">What does accountability in AI encompass?</t>
  </si>
  <si>
    <t xml:space="preserve">Accountability in AI encompasses legal and regulatory compliance, ethical considerations, and defining liability and responsibility. (Towards Ethical and Socially Responsible Explainable AI, p. 171)</t>
  </si>
  <si>
    <t xml:space="preserve">It encompasses legal and regulatory compliance, ethical considerations, and defining liability and responsibility [4, 9, 12, 14, 27].</t>
  </si>
  <si>
    <t xml:space="preserve">format(sentences=1,paraphrases=2)</t>
  </si>
  <si>
    <t xml:space="preserve">The evidence lists exactly the three elements given in the answer. It refers to accountability only as "It", so tying the statement to AI accountability is an obvious inference from context rather than something stated outright.</t>
  </si>
  <si>
    <t xml:space="preserve">What components make up the concept of accountability in AI?</t>
  </si>
  <si>
    <t xml:space="preserve">How is accountability in AI defined in terms of its scope?</t>
  </si>
  <si>
    <t xml:space="preserve">towards-ethical:0090:q2</t>
  </si>
  <si>
    <t xml:space="preserve">What example is given of auditing and monitoring as an accountability aspect for AI systems?</t>
  </si>
  <si>
    <t xml:space="preserve">The example is periodic third-party audits of AI algorithms used in financial decision-making processes. Auditing and monitoring more broadly means conducting regular audits and monitoring to ensure compliance, performance, and ethical standards. (Towards Ethical and Socially Responsible Explainable AI, p. 152)</t>
  </si>
  <si>
    <t xml:space="preserve">| Auditing and monitoring          | Conducting regular audits and monitoring of AI systems to ensure compliance, performance, and ethical standards      | Periodic third-party audits of AI algorithms used in financial decision-making processes                             |</t>
  </si>
  <si>
    <t xml:space="preserve">Both the example (periodic third-party audits of AI algorithms in financial decision-making) and the definition (regular audits and monitoring for compliance, performance and ethical standards) are stated directly in the evidence table.</t>
  </si>
  <si>
    <t xml:space="preserve">Which example illustrates regular auditing and monitoring of AI systems under accountability?</t>
  </si>
  <si>
    <t xml:space="preserve">How is auditing and monitoring of AI illustrated with a concrete case in the accountability framework?</t>
  </si>
  <si>
    <t xml:space="preserve">towards-ethical:0077:q2</t>
  </si>
  <si>
    <t xml:space="preserve">What does the Patterns review question ask in a scoping review of generative AI in nursing education?</t>
  </si>
  <si>
    <t xml:space="preserve">The Patterns question asks what patterns emerge in how generative AI is discussed, studied and applied in nursing education. (Patterns, advances, and gaps in using ChatGPT and similar technologies in nursing education: A PAGER scoping review, p. 2)</t>
  </si>
  <si>
    <t xml:space="preserve">What patterns emerge in how GenAI are discussed, studied and applied in nursing education?</t>
  </si>
  <si>
    <t xml:space="preserve">The answer restates the quoted review question almost verbatim. The only change is expanding 'GenAI' to 'generative AI'.</t>
  </si>
  <si>
    <t xml:space="preserve">Which question addresses patterns in a PAGER scoping review of generative AI in nursing education?</t>
  </si>
  <si>
    <t xml:space="preserve">What is the Patterns question posed in a review of how generative AI is used in nursing education?</t>
  </si>
  <si>
    <t xml:space="preserve">patterns-advances-and-gaps-in-using-chatgpt-and:0003:q3</t>
  </si>
  <si>
    <t xml:space="preserve">Why did the authors of a scoping review of generative AI in nursing education add the PAGER framework to their review protocol?</t>
  </si>
  <si>
    <t xml:space="preserve">The PAGER framework was selected because it provides systematic, actionable insights. It also helps identify knowledge gaps. This suits the complex and rapidly evolving landscape of generative AI. (Patterns, advances, and gaps in using ChatGPT and similar technologies in nursing education: A PAGER scoping review, p. 2)</t>
  </si>
  <si>
    <t xml:space="preserve">This framework was specifically selected to provide systematic, actionable insights and identify knowledge gaps in GenAI's complex and rapidly evolving landscape (Bradbury-Jones et al., 2022).</t>
  </si>
  <si>
    <t xml:space="preserve">duplicate(cos=0.960 of patterns-advances-and-gaps-in-using-chatgpt-and:0003:q0)</t>
  </si>
  <si>
    <t xml:space="preserve">Every claim in the answer is directly stated in the evidence: PAGER was chosen for systematic, actionable insights, for identifying knowledge gaps, and to suit the complex, rapidly evolving landscape of generative AI.</t>
  </si>
  <si>
    <t xml:space="preserve">What was the rationale for using the PAGER framework as a mapping tool in a nursing-education generative AI scoping review?</t>
  </si>
  <si>
    <t xml:space="preserve">Why was PAGER selected to structure a scoping review on generative AI in nursing education?</t>
  </si>
  <si>
    <t xml:space="preserve">patterns-advances-and-gaps-in-using-chatgpt-and:0004:q1</t>
  </si>
  <si>
    <t xml:space="preserve">What kind of research on generative AI in nursing education do the recommendations say should be prioritised when comparing teaching approaches?</t>
  </si>
  <si>
    <t xml:space="preserve">Comparative effectiveness research between AI-enhanced and conventional teaching methods should be given priority. This sits alongside longitudinal studies evaluating the impact of GenAI use on student outcomes and ethical decision-making. (Patterns, advances, and gaps in using ChatGPT and similar technologies in nursing education: A PAGER scoping review, p. 8)</t>
  </si>
  <si>
    <t xml:space="preserve">Longitudinal studies are needed to evaluate the impact of GenAI use on student outcomes and ethical decision-making. Comparative effectiveness research between AI-enhanced and conventional teaching methods should be given priority.</t>
  </si>
  <si>
    <t xml:space="preserve">Both statements, the priority on comparative effectiveness research and the need for longitudinal studies, are stated directly in the evidence.</t>
  </si>
  <si>
    <t xml:space="preserve">Which type of comparative research does the nursing education scoping review prioritise regarding GenAI?</t>
  </si>
  <si>
    <t xml:space="preserve">What comparison should research prioritise to evaluate generative AI in nursing teaching?</t>
  </si>
  <si>
    <t xml:space="preserve">patterns-advances-and-gaps-in-using-chatgpt-and:0016:q2</t>
  </si>
  <si>
    <t xml:space="preserve">How did a systematic review of generative AI in entrepreneurship education score each study's quality?</t>
  </si>
  <si>
    <t xml:space="preserve">Each study was scored against predefined criteria: 2 points for fully meeting the standards, 1 point for partially meeting them, and 0 points for failing to meet them. The total score classified quality as high (5 points or more), moderate (3-4 points), or low (fewer than 3 points). The criteria concerned the descriptions of methodology, data collection and data analysis. (Toward understanding the role of generative AI in entrepreneurship education: A systematic review, p. 3)</t>
  </si>
  <si>
    <t xml:space="preserve">Each study was scored based on predefined criteria: 2 points for fully meeting the standards, 1 point for partially meeting them, and 0 points for failing to meet them (Zhang &amp; Ramayah, 2024). Based on the total score, research quality was categorized as high (≥5 points), moderate (3-4 points), or low (&lt;3 points).</t>
  </si>
  <si>
    <t xml:space="preserve">The 2/1/0 point scheme and the high/moderate/low thresholds are directly supported. The final sentence, saying the criteria concerned descriptions of methodology, data collection and data analysis, is not in the evidence.</t>
  </si>
  <si>
    <t xml:space="preserve">What scoring scheme did a review of generative AI in entrepreneurship education apply to rate the quality of included studies?</t>
  </si>
  <si>
    <t xml:space="preserve">How were points assigned to studies when assessing research quality in a systematic review on generative AI in entrepreneurship education?</t>
  </si>
  <si>
    <t xml:space="preserve">toward-understanding-the-role-of-generative-ai:0005:q1</t>
  </si>
  <si>
    <t xml:space="preserve">A secondary school plans to let students use a streaming-style recommender system for a political education unit. What risk does the evidence suggest the teachers should anticipate?</t>
  </si>
  <si>
    <t xml:space="preserve">Teachers should anticipate information bubbles and echo chambers. Recommender systems improve personalization but can limit exposure to diverse perspectives and reinforce existing beliefs. This can hinder critical thinking, which is an especially serious concern in the political education of K-12 students. (Be AIware! An AI Competency Model for K-12 Education, p. 2)</t>
  </si>
  <si>
    <t xml:space="preserve">While these systems enhance personalization, they can create information bubbles by limiting exposure to diverse perspectives and reinforcing existing beliefs (Areeb et al., 2023; Kidwai et al., 2023). This can hinder critical thinking and create echo chambers, an especially serious concern in the political education of K-12 students</t>
  </si>
  <si>
    <t xml:space="preserve">Every claim in the answer is stated directly in the evidence: information bubbles, limited exposure to diverse perspectives, reinforcement of existing beliefs, hindered critical thinking, echo chambers, and the particular concern for political education of K-12 students.</t>
  </si>
  <si>
    <t xml:space="preserve">A K-12 teacher wants students to research political topics using platforms driven by recommendation algorithms. What concern should the teacher keep in mind?</t>
  </si>
  <si>
    <t xml:space="preserve">What problem might arise if school students in a political education course rely on personalized recommender systems for information?</t>
  </si>
  <si>
    <t xml:space="preserve">be-aiware-an-ai-competency-model-for-k-12:0002:q0</t>
  </si>
  <si>
    <t xml:space="preserve">What difficulty do teachers face in detecting AI-generated student work, according to the discussion of generative AI challenges in K-12 education?</t>
  </si>
  <si>
    <t xml:space="preserve">Teachers struggle with detecting AI-generated work because current detection tools are unreliable. This is listed among the challenges teachers face with generative AI, alongside reduced creativity, data privacy concerns, deepfakes and fake news, and copyright issues. (Be AIware! An AI Competency Model for K-12 Education, p. 2)</t>
  </si>
  <si>
    <t xml:space="preserve">Teachers also struggle with detecting AI-generated work, as current detection tools are unreliable.</t>
  </si>
  <si>
    <t xml:space="preserve">assessment</t>
  </si>
  <si>
    <t xml:space="preserve">The core claim, that detection tools are unreliable, is directly stated. The list of other challenges (reduced creativity, data privacy concerns, deepfakes and fake news, copyright issues) does not appear in the quoted evidence.</t>
  </si>
  <si>
    <t xml:space="preserve">Why do teachers struggle to identify AI-generated work from students?</t>
  </si>
  <si>
    <t xml:space="preserve">What is the problem with current tools for detecting AI-generated work in K-12 classrooms?</t>
  </si>
  <si>
    <t xml:space="preserve">be-aiware-an-ai-competency-model-for-k-12:0002:q4</t>
  </si>
  <si>
    <t xml:space="preserve">How does the Data characteristics knowledge competency progress in the AIware K-12 AI competency model?</t>
  </si>
  <si>
    <t xml:space="preserve">The competency moves from recognizing data characteristics to critically evaluating the quality and relevance of data sets. (Be AIware! An AI Competency Model for K-12 Education, p. 39)</t>
  </si>
  <si>
    <t xml:space="preserve">Moves from recognizing data characteristics to critically evaluating the quality and relevance of data sets.</t>
  </si>
  <si>
    <t xml:space="preserve">The answer repeats the evidence almost word for word: the competency progresses from recognizing data characteristics to critically evaluating the quality and relevance of data sets. Nothing is added.</t>
  </si>
  <si>
    <t xml:space="preserve">What is the progression of the Data characteristics competency in the Be AIware K-12 model?</t>
  </si>
  <si>
    <t xml:space="preserve">In the AIware K-12 model, how does learners' knowledge of data characteristics develop over levels?</t>
  </si>
  <si>
    <t xml:space="preserve">be-aiware-an-ai-competency-model-for-k-12:0057:q4</t>
  </si>
  <si>
    <t xml:space="preserve">Why does the geographic distribution of the Times Higher Education top 300 universities suggest that rankings reflect a Global North concentration of 'quality'?</t>
  </si>
  <si>
    <t xml:space="preserve">In the THE top 300, 282 universities (94%) are in the 'Global North' of high-income countries as defined by the World Bank. Since global rankings imply that 'world class' status, quality or excellence are concentrated in specific places, this distribution suggests that excellence is absent elsewhere. (Socially Responsible Higher Education, pp. 95-96)</t>
  </si>
  <si>
    <t xml:space="preserve">282 (94%) are located in the so-called 'Global North' of high income countries as specified by the World Bank (2019). … The message seems clear - 'world class' status, 'quality', or 'excellence' are highly concentrated in specific places. It is therefore, by implication, not present in others.</t>
  </si>
  <si>
    <t xml:space="preserve">The 282 (94%) figure and the claim that excellence is implicitly absent elsewhere are directly supported. Linking the figure to the THE top 300 is an obvious inference (282/300 = 94%), but the quoted evidence does not name the ranking explicitly.</t>
  </si>
  <si>
    <t xml:space="preserve">What does the geographic makeup of the THE top 300 reveal about how rankings concentrate 'quality' in the Global North?</t>
  </si>
  <si>
    <t xml:space="preserve">How does the location of the top 300 universities in the THE rankings show a Global North bias in who is deemed excellent?</t>
  </si>
  <si>
    <t xml:space="preserve">budd-l-hall-rajesh-2021-socially-responsible:0055:q1</t>
  </si>
  <si>
    <t xml:space="preserve">How many institutions represent the entire African continent in the Times Higher Education top 300, and where are they located?</t>
  </si>
  <si>
    <t xml:space="preserve">The entire continent of Africa is represented by three institutions, all of which are in South Africa. By comparison, only one university comes from the whole of Latin America, one from the Middle East, and none from Central Asia. (Socially Responsible Higher Education, p. 95)</t>
  </si>
  <si>
    <t xml:space="preserve">The entire continent of Africa is represented by three institutions, all of which are in South Africa. There is only one university from the whole of Latin America, one from the Middle East, and not a single institution from Central Asia.</t>
  </si>
  <si>
    <t xml:space="preserve">Every statement in the answer (three African institutions, all in South Africa, one from Latin America, one from the Middle East, none from Central Asia) is directly stated in the evidence. The evidence does not itself name the Times Higher Education top 300, but the answer makes no claim about the ranking.</t>
  </si>
  <si>
    <t xml:space="preserve">Which and how many African universities appear in the THE top 300 rankings?</t>
  </si>
  <si>
    <t xml:space="preserve">In the THE top 300, how is Africa represented, and in which country are its universities?</t>
  </si>
  <si>
    <t xml:space="preserve">budd-l-hall-rajesh-2021-socially-responsible:0055:q2</t>
  </si>
  <si>
    <t xml:space="preserve">Why can the geographic bias in university rankings not be dismissed as a quirk of a single ranking system such as Times Higher Education?</t>
  </si>
  <si>
    <t xml:space="preserve">THE is not alone in this bias. The Academic Ranking of World Universities (ARWU) and the QS World University Rankings are more geographically inclusive, but only by a few percentage points. The bias is therefore shared across the major global rankings. (Socially Responsible Higher Education, p. 95)</t>
  </si>
  <si>
    <t xml:space="preserve">THE is not alone in this bias - the Academic Ranking of World Universities (ARWU, 2019) and QS World University Rankings (QS, 2019) are more geographically inclusive, but only by a few percentage points.</t>
  </si>
  <si>
    <t xml:space="preserve">The answer's first two sentences are stated directly in the evidence. The conclusion that the bias is shared across the major global rankings is an obvious inference from them.</t>
  </si>
  <si>
    <t xml:space="preserve">Why is the Global North skew in rankings not limited to just the THE ranking?</t>
  </si>
  <si>
    <t xml:space="preserve">How do other major rankings show that THE's geographic bias is not unique?</t>
  </si>
  <si>
    <t xml:space="preserve">budd-l-hall-rajesh-2021-socially-responsible:0055:q3</t>
  </si>
  <si>
    <t xml:space="preserve">Why is the dominance of already-advantaged institutions in global rankings not simply evidence that the best universities rise to the top?</t>
  </si>
  <si>
    <t xml:space="preserve">Rankings reflect a system in which already-advantaged institutions identify themselves as better and use systemic processes to stay on top. Underlying structures create, maintain and often exacerbate social inequalities. The argument also frames rankings as a question of sovereignty and control, where power, status and funding rest with a small minority of majority-white countries and institutions. (Socially Responsible Higher Education, p. 96)</t>
  </si>
  <si>
    <t xml:space="preserve">underlying structures invariably create, maintain and often exacerbate social inequalities. In other words, it is not about the cream rising to the top, but rather about the presence of a system in which the cream identifies itself as better and utilises systemic processes to stay there. … rankings are a question of sovereignty, of control, where the balance of power - and therefore status and funding - rests in the hands of a small minority of majority white countries and institutions.</t>
  </si>
  <si>
    <t xml:space="preserve">Every claim matches the evidence apart from small rewordings: 'already-advantaged institutions' stands in for 'the cream', and 'invariably' is dropped. Nothing in the answer goes beyond what is quoted.</t>
  </si>
  <si>
    <t xml:space="preserve">How do rankings reflect structural inequality rather than the best universities naturally rising?</t>
  </si>
  <si>
    <t xml:space="preserve">Why is it misleading to read top rankings as 'cream rising to the top'?</t>
  </si>
  <si>
    <t xml:space="preserve">budd-l-hall-rajesh-2021-socially-responsible:0055:q4</t>
  </si>
  <si>
    <t xml:space="preserve">Which kinds of data should decision-making in an educational AI system draw on to be considered transparent and well-founded?</t>
  </si>
  <si>
    <t xml:space="preserve">Decision-making processes in educational AI should be transparent and based on all relevant data. This includes student performance, demographic information and behavioural factors. (Towards Ethical and Socially Responsible Explainable AI, p. 67)</t>
  </si>
  <si>
    <t xml:space="preserve">Decision-making processes should be transparent and based on all relevant data, including student performance, demographic information and behavioural factors</t>
  </si>
  <si>
    <t xml:space="preserve">The evidence directly states that decision-making should be transparent and based on all relevant data, and it names student performance, demographic information and behavioural factors. The answer adds nothing beyond the evidence.</t>
  </si>
  <si>
    <t xml:space="preserve">What data should educational AI decisions be based on?</t>
  </si>
  <si>
    <t xml:space="preserve">According to guidance on transparent educational AI, what relevant data should inform its decisions?</t>
  </si>
  <si>
    <t xml:space="preserve">towards-ethical:0028:q1</t>
  </si>
  <si>
    <t xml:space="preserve">What should an explanation from an educational personalized learning AI contain about its recommendations for an individual student?</t>
  </si>
  <si>
    <t xml:space="preserve">The system should explain how it arrived at recommendations for individual students. That explanation should include the factors considered and the goals of the recommendations. (Towards Ethical and Socially Responsible Explainable AI, p. 68)</t>
  </si>
  <si>
    <t xml:space="preserve">Explanations of how the system arrived at recommendations for individual students, including the factors considered and the goals of those recommendations</t>
  </si>
  <si>
    <t xml:space="preserve">Every statement in the answer is directly stated in the evidence: how the system arrived at recommendations for individual students, the factors considered and the goals of the recommendations.</t>
  </si>
  <si>
    <t xml:space="preserve">What does explainability look like for a personalized learning AI's recommendations to individual students?</t>
  </si>
  <si>
    <t xml:space="preserve">What elements should explanations of personalized learning AI recommendations include?</t>
  </si>
  <si>
    <t xml:space="preserve">towards-ethical:0028:q3</t>
  </si>
  <si>
    <t xml:space="preserve">Which types of laws should educational AI systems comply with according to guidance on ethical AI in education?</t>
  </si>
  <si>
    <t xml:space="preserve">Educational AI systems should comply with educational regulations and laws. These include student privacy laws and anti-discrimination laws. (Towards Ethical and Socially Responsible Explainable AI, p. 68)</t>
  </si>
  <si>
    <t xml:space="preserve">Compliance with educational regulations and laws, including student privacy laws and anti-discrimination laws</t>
  </si>
  <si>
    <t xml:space="preserve">The evidence names compliance with educational regulations and laws, including student privacy and anti-discrimination laws, which the answer restates directly.</t>
  </si>
  <si>
    <t xml:space="preserve">What legal requirements are named for educational AI systems?</t>
  </si>
  <si>
    <t xml:space="preserve">With which regulations and laws should AI systems in education be compliant?</t>
  </si>
  <si>
    <t xml:space="preserve">towards-ethical:0028:q4</t>
  </si>
  <si>
    <t xml:space="preserve">In which kinds of settings may high transparency be necessary, and in which may confidentiality take priority, for AI decision-making?</t>
  </si>
  <si>
    <t xml:space="preserve">High transparency may be necessary in contexts such as medical diagnosis or financial decision-making, to build trust and ensure accountability. In contexts such as national security or defense, confidentiality may be paramount, and transparency may need to be limited to protect sensitive information. (Towards Ethical and Socially Responsible Explainable AI, p. 104)</t>
  </si>
  <si>
    <t xml:space="preserve">In some cases, such as medical diagnosis or financial decision-making, a high level of transparency may be necessary to build trust and ensure accountability. In other cases, such as national security or defense, confidentiality may be paramount, and transparency may need to be limited to protect sensitive information [1, 9, 12].</t>
  </si>
  <si>
    <t xml:space="preserve">Every statement in the answer is taken directly from the evidence. This covers medical diagnosis and financial decision-making needing high transparency for trust and accountability, and national security and defense where confidentiality is paramount and transparency is limited to protect sensitive information.</t>
  </si>
  <si>
    <t xml:space="preserve">Which domains call for a high level of AI transparency, and which may limit transparency in favor of confidentiality?</t>
  </si>
  <si>
    <t xml:space="preserve">Where is strong transparency needed in AI decisions, and where might confidentiality be paramount?</t>
  </si>
  <si>
    <t xml:space="preserve">towards-ethical:0051:q1</t>
  </si>
  <si>
    <t xml:space="preserve">Why should clear guidelines and standards for confidentiality and transparency be established for AI development and deployment?</t>
  </si>
  <si>
    <t xml:space="preserve">What counts as confidential information differs among stakeholders. For example, a company may consider something confidential that a regulatory body or the public does not. Because of this difference, clear guidelines and standards are needed for confidentiality and transparency in AI development and deployment. (Towards Ethical and Socially Responsible Explainable AI, p. 104)</t>
  </si>
  <si>
    <t xml:space="preserve">For example, what is considered confidential information by a company may be different from what is considered confidential information by a regulatory body or the public. Therefore, it is essential to establish clear guidelines and standards for confidentiality and transparency in the development and deployment of AI systems [97, 98].</t>
  </si>
  <si>
    <t xml:space="preserve">Every claim in the answer is stated in the evidence. The evidence gives the example that companies, regulators and the public view confidential information differently, and draws the conclusion that clear guidelines are therefore essential.</t>
  </si>
  <si>
    <t xml:space="preserve">What justifies setting clear standards on confidentiality and transparency for AI systems?</t>
  </si>
  <si>
    <t xml:space="preserve">Why is it essential to define shared guidelines on confidentiality and transparency in AI?</t>
  </si>
  <si>
    <t xml:space="preserve">towards-ethical:0051:q3</t>
  </si>
  <si>
    <t xml:space="preserve">How many of 31 surveyed Peruvian law schools have implemented public interest clinics rather than free legal aid clinics?</t>
  </si>
  <si>
    <t xml:space="preserve">Only 3 of the 31 Peruvian law schools surveyed have implemented public interest clinics. The remainder opted for free legal aid clinics. These often function as alternatives to internships that give students educational credit, which was reported by 27 institutions. (Socially Responsible Higher Education, p. 222)</t>
  </si>
  <si>
    <t xml:space="preserve">of the 31 institutions surveyed, only 3 have implemented public interest clinics, while the remainder have opted for free legal aid clinics. The latter often function as alternatives to internships, where students can get educational credit and recognition for internship work (27 institutions).</t>
  </si>
  <si>
    <t xml:space="preserve">The answer is fully supported by the evidence. Two details are inferred rather than stated: that the 31 institutions are Peruvian law schools (likely from context but absent from the quoted passage), and that the 27-institution figure refers to internship credit (an interpretation of a parenthetical).</t>
  </si>
  <si>
    <t xml:space="preserve">Out of 31 law schools surveyed in Peru, how many run public interest clinics instead of free legal aid clinics?</t>
  </si>
  <si>
    <t xml:space="preserve">What number of the 31 Peruvian law schools studied have set up public interest clinics?</t>
  </si>
  <si>
    <t xml:space="preserve">budd-l-hall-rajesh-2021-socially-responsible:0120:q0</t>
  </si>
  <si>
    <t xml:space="preserve">How are free legal aid clinics and public interest clinics distributed across Peruvian universities?</t>
  </si>
  <si>
    <t xml:space="preserve">Free legal aid clinics are evenly distributed across public and private universities throughout the country. Public interest clinics, by contrast, are concentrated in three private universities in Lima, the capital. (Socially Responsible Higher Education, p. 222)</t>
  </si>
  <si>
    <t xml:space="preserve">The research shows that free legal aid clinics are evenly distributed in public and private universities throughout the country, while public interest clinics are concentrated in three private universities in Lima, Peru's capital.</t>
  </si>
  <si>
    <t xml:space="preserve">Every statement in the answer is stated directly in the evidence: the even public/private, nationwide distribution of free legal aid clinics and the concentration of public interest clinics in three private universities in Lima.</t>
  </si>
  <si>
    <t xml:space="preserve">Where in Peru are free legal aid clinics and public interest clinics located, and in which types of universities?</t>
  </si>
  <si>
    <t xml:space="preserve">What is the geographic and public/private distribution of the two clinic types in Peruvian law schools?</t>
  </si>
  <si>
    <t xml:space="preserve">budd-l-hall-rajesh-2021-socially-responsible:0120:q1</t>
  </si>
  <si>
    <t xml:space="preserve">Why might public interest clinics in Peruvian law schools be concentrated in Lima?</t>
  </si>
  <si>
    <t xml:space="preserve">The concentration could be because Peru has only a few dedicated public interest lawyers. In addition, the country's high courts, the Supreme Court and the Constitutional Court, are both located in Lima. (Socially Responsible Higher Education, p. 222)</t>
  </si>
  <si>
    <t xml:space="preserve">This could be because there only few dedicated public interest lawyers in Peru, and the high courts of Peru (Supreme Court and Constitutional Court) are both in Lima.</t>
  </si>
  <si>
    <t xml:space="preserve">Both reasons given in the answer, the scarcity of public interest lawyers and the location of the Supreme Court and Constitutional Court in Lima, are stated directly in the evidence.</t>
  </si>
  <si>
    <t xml:space="preserve">What reasons are suggested for public interest clinics clustering in Peru's capital?</t>
  </si>
  <si>
    <t xml:space="preserve">How can the Lima concentration of public interest clinics in Peruvian legal education be explained?</t>
  </si>
  <si>
    <t xml:space="preserve">budd-l-hall-rajesh-2021-socially-responsible:0120:q2</t>
  </si>
  <si>
    <t xml:space="preserve">What does an ethical impact assessment involve in the context of AI accountability?</t>
  </si>
  <si>
    <t xml:space="preserve">An ethical impact assessment evaluates how AI systems may affect different societal groups. It involves assessing potential risks and benefits and taking steps to minimize harm. (Towards Ethical and Socially Responsible Explainable AI, p. 172)</t>
  </si>
  <si>
    <t xml:space="preserve">Ethical Impact Assessment: Conduct ethical impact assessments to evaluate how AI systems may affect different societal groups. Assess potential risks and benefits and take steps to minimize harm.</t>
  </si>
  <si>
    <t xml:space="preserve">Every statement in the answer closely restates the evidence: evaluating effects on societal groups, assessing risks and benefits, and minimizing harm.</t>
  </si>
  <si>
    <t xml:space="preserve">What is an ethical impact assessment for AI systems?</t>
  </si>
  <si>
    <t xml:space="preserve">What are organizations expected to do when they conduct an ethical impact assessment of an AI system?</t>
  </si>
  <si>
    <t xml:space="preserve">towards-ethical:0090:q3</t>
  </si>
  <si>
    <t xml:space="preserve">Why should organizations regularly audit algorithms and conduct regular legal reviews of their AI systems?</t>
  </si>
  <si>
    <t xml:space="preserve">Regular legal reviews of AI systems and practices help ensure ongoing compliance with evolving laws and regulations. Regular audits of algorithms for fairness help identify and mitigate algorithmic bias, particularly in applications that affect individuals' lives, such as hiring or lending decisions. (Towards Ethical and Socially Responsible Explainable AI, p. 172)</t>
  </si>
  <si>
    <t xml:space="preserve">Regular Legal Review: Conduct regular legal reviews of AI systems and practices to ensure ongoing compliance with evolving laws and regulations. … Algorithmic Bias Mitigation: Implement measures to identify and mitigate algorithmic bias, particularly in applications that impact individuals' lives, such as hiring or lending decisions. Regularly audit algorithms for fairness.</t>
  </si>
  <si>
    <t xml:space="preserve">Both claims are supported. Linking regular fairness audits to identifying and mitigating bias is an obvious inference from the 'Algorithmic Bias Mitigation' item, which pairs the two.</t>
  </si>
  <si>
    <t xml:space="preserve">What is the purpose of regular algorithm fairness audits and ongoing legal reviews of AI?</t>
  </si>
  <si>
    <t xml:space="preserve">Why are periodic audits and legal reviews recommended for AI systems and practices?</t>
  </si>
  <si>
    <t xml:space="preserve">towards-ethical:0090:q4</t>
  </si>
  <si>
    <t xml:space="preserve">What does transparency in AI mean, and what role does it play between users and AI systems?</t>
  </si>
  <si>
    <t xml:space="preserve">Transparency in AI is the mechanism through which AI systems communicate their decision-making processes, data sources, and the rationale behind their recommendations. It acts as a bridge between human users and machine intelligence. (Towards Ethical and Socially Responsible Explainable AI, p. 150)</t>
  </si>
  <si>
    <t xml:space="preserve">Transparency in AI serves as the bridge between human users and machine intelligence. It is the mechanism through which AI systems communicate their decisionmaking processes, data sources, and the rationale behind their recommendations.</t>
  </si>
  <si>
    <t xml:space="preserve">Both statements in the answer are taken directly from the evidence: the definition of transparency as the mechanism for communicating decision-making processes, data sources and rationale, and its role as a bridge between users and machine intelligence.</t>
  </si>
  <si>
    <t xml:space="preserve">How is transparency defined in the context of artificial intelligence?</t>
  </si>
  <si>
    <t xml:space="preserve">What is AI transparency and how does it connect human users with machine intelligence?</t>
  </si>
  <si>
    <t xml:space="preserve">towards-ethical:0077:q0</t>
  </si>
  <si>
    <t xml:space="preserve">In the context of AI accountability, what does bias detection and mitigation involve?</t>
  </si>
  <si>
    <t xml:space="preserve">Bias detection and mitigation means detecting and mitigating biases in AI algorithms to ensure fairness in decision-making. An example is using demographic parity techniques to reduce gender bias in a job recruitment AI system. (Towards Ethical and Socially Responsible Explainable AI, p. 151)</t>
  </si>
  <si>
    <t xml:space="preserve">| Bias detection and mitigation    | Detecting and mitigating biases in AI algorithms to ensure fairness in decision-making                             | Using demographic parity techniques to reduce gender bias in a job recruitment AI system               |</t>
  </si>
  <si>
    <t xml:space="preserve">Both the definition and the example are stated directly in the evidence table row. The row's placement under AI accountability is implied by the question rather than shown in the evidence, but this is a minor framing point.</t>
  </si>
  <si>
    <t xml:space="preserve">How is bias detection and mitigation defined as an aspect of accountable AI?</t>
  </si>
  <si>
    <t xml:space="preserve">What does it mean to detect and mitigate bias as part of AI accountability?</t>
  </si>
  <si>
    <t xml:space="preserve">towards-ethical:0077:q1</t>
  </si>
  <si>
    <t xml:space="preserve">Why does AI accountability include public engagement with stakeholders and users?</t>
  </si>
  <si>
    <t xml:space="preserve">Public engagement involves engaging with the public, stakeholders, and users to gather input, address concerns, and build trust in AI systems. An example is hosting public forums and seeking feedback on the use of AI in city planning and transportation projects. (Towards Ethical and Socially Responsible Explainable AI, p. 152)</t>
  </si>
  <si>
    <t xml:space="preserve">| Public engagement                | Engaging with the public, stakeholders, and users to gather input, address concerns, and build trust in AI systems   | Hosting public forums and seeking feedback on the use of AI in city planning and transportation projects             |</t>
  </si>
  <si>
    <t xml:space="preserve">leadership_strategy</t>
  </si>
  <si>
    <t xml:space="preserve">The answer reproduces the table row: engaging the public, stakeholders, and users to gather input, address concerns, and build trust, with the example of public forums on AI in city planning and transportation. All of it is stated in the evidence.</t>
  </si>
  <si>
    <t xml:space="preserve">What purpose does public engagement serve in accountable AI?</t>
  </si>
  <si>
    <t xml:space="preserve">How does engaging the public and stakeholders contribute to accountability for AI systems?</t>
  </si>
  <si>
    <t xml:space="preserve">towards-ethical:0077:q3</t>
  </si>
  <si>
    <t xml:space="preserve">A university deploys an AI-driven personal assistant that collects student data. Which accountability practice should it adopt to respect student autonomy over their data, and what would that look like?</t>
  </si>
  <si>
    <t xml:space="preserve">The university should apply user consent and control, ensuring users have informed consent and control over how their data is used and interacted with by AI systems. In practice, it would let students customize privacy settings and opt in or out of data collection by the AI-driven personal assistant. (Towards Ethical and Socially Responsible Explainable AI, p. 152)</t>
  </si>
  <si>
    <t xml:space="preserve">| User consent and control         | Ensuring that users have informed consent and control over how their data is used and interacted with by AI systems  | Allowing users to customize privacy settings and opt in or out of data collection by an AI-driven personal assistant |</t>
  </si>
  <si>
    <t xml:space="preserve">The evidence directly supports the practice, its definition and the example. Applying it to a university and students is an obvious inference rather than something the evidence states, since the table row gives a generic example.</t>
  </si>
  <si>
    <t xml:space="preserve">A college rolls out an AI personal assistant that gathers student data; what accountability measure gives students control over their data?</t>
  </si>
  <si>
    <t xml:space="preserve">How should a university apply the user consent and control principle when students use an AI assistant that collects their data?</t>
  </si>
  <si>
    <t xml:space="preserve">towards-ethical:0077:q4</t>
  </si>
  <si>
    <t xml:space="preserve">What is the PAGER framework as used to structure a scoping review of generative AI in nursing education?</t>
  </si>
  <si>
    <t xml:space="preserve">The PAGER framework is used to structure the synthesis of the review across five domains. These domains are Patterns, Advances, Gaps, Evidence, and Recommendations. (Patterns, advances, and gaps in using ChatGPT and similar technologies in nursing education: A PAGER scoping review, p. 2)</t>
  </si>
  <si>
    <t xml:space="preserve">The review applies the PAGER framework to structure the synthesis across five domains: Patterns, Advances, Gaps, Evidence, and Recommendations.</t>
  </si>
  <si>
    <t xml:space="preserve">Both statements in the answer, that the framework structures the synthesis and that its five domains are Patterns, Advances, Gaps, Evidence and Recommendations, are stated directly in the evidence.</t>
  </si>
  <si>
    <t xml:space="preserve">What does the PAGER framework consist of when it is applied to organise a synthesis on generative AI in nursing education?</t>
  </si>
  <si>
    <t xml:space="preserve">How is the PAGER framework defined in a scoping review of ChatGPT-type tools in nursing education?</t>
  </si>
  <si>
    <t xml:space="preserve">patterns-advances-and-gaps-in-using-chatgpt-and:0003:q0</t>
  </si>
  <si>
    <t xml:space="preserve">What are the stated aims of a scoping review examining how generative AI tools such as ChatGPT are implemented in nursing education?</t>
  </si>
  <si>
    <t xml:space="preserve">The review seeks to identify common implementation patterns and document technological advances. It also aims to highlight gaps in current evidence, summarise practice-based findings, and propose recommendations for responsible integration. (Patterns, advances, and gaps in using ChatGPT and similar technologies in nursing education: A PAGER scoping review, p. 2)</t>
  </si>
  <si>
    <t xml:space="preserve">This scoping review examines how GenAI tools such as ChatGPT are implemented in nursing education. It seeks to identify common implementation patterns, document technological advances, highlight gaps in current evidence, summarise practice-based findings, and propose recommendations for responsible integration.</t>
  </si>
  <si>
    <t xml:space="preserve">Every aim listed in the answer appears verbatim in the evidence: identifying patterns, documenting advances, highlighting gaps, summarising practice-based findings, and proposing recommendations.</t>
  </si>
  <si>
    <t xml:space="preserve">Which objectives does a scoping review of ChatGPT-style tool implementation in nursing education set out to achieve?</t>
  </si>
  <si>
    <t xml:space="preserve">What does a scoping review on generative AI implementation in nursing education seek to do?</t>
  </si>
  <si>
    <t xml:space="preserve">patterns-advances-and-gaps-in-using-chatgpt-and:0003:q1</t>
  </si>
  <si>
    <t xml:space="preserve">In the JBI PCC framework used to set eligibility criteria for a scoping review of generative AI in nursing education, what do the Population, Concept, and Context components cover?</t>
  </si>
  <si>
    <t xml:space="preserve">The Concept covered generative AI tools such as ChatGPT, Claude, and Perplexity. The Context was nursing education settings. The Population was nursing students, faculty, or researchers. Studies of all types, including research articles and opinion pieces, were eligible. (Patterns, advances, and gaps in using ChatGPT and similar technologies in nursing education: A PAGER scoping review, p. 2)</t>
  </si>
  <si>
    <t xml:space="preserve">This scoping review followed the JBI PCC (Population, Concept, Context) framework to guide inclusion and exclusion criteria. We included studies of all types, such as research articles and opinion pieces, that examined the use or discussion of GenAI tools (Concept), including ChatGPT, Claude, and Perplexity, in nursing education settings (Context). Eligible studies involved nursing students, faculty, or researchers (Population).</t>
  </si>
  <si>
    <t xml:space="preserve">The evidence directly states each component: the Concept is GenAI tools including ChatGPT, Claude and Perplexity, the Context is nursing education settings, and the Population is nursing students, faculty or researchers. It also states that studies of all types, such as research articles and opinion pieces, were included.</t>
  </si>
  <si>
    <t xml:space="preserve">How did a scoping review of generative AI in nursing education define Population, Concept, and Context under the JBI PCC framework?</t>
  </si>
  <si>
    <t xml:space="preserve">What did the PCC elements (Population, Concept, Context) specify for inclusion in a nursing-education generative AI scoping review?</t>
  </si>
  <si>
    <t xml:space="preserve">patterns-advances-and-gaps-in-using-chatgpt-and:0004:q0</t>
  </si>
  <si>
    <t xml:space="preserve">How did the reviewers in a scoping review of generative AI in nursing education screen studies and resolve disagreements?</t>
  </si>
  <si>
    <t xml:space="preserve">Six reviewers independently assessed titles and abstracts against the inclusion criteria, and the same reviewers then evaluated full texts. Two senior reviewers resolved disagreements through discussion and consensus. Regular calibration meetings ensured the criteria were applied consistently across all reviewers. (Patterns, advances, and gaps in using ChatGPT and similar technologies in nursing education: A PAGER scoping review, p. 3)</t>
  </si>
  <si>
    <t xml:space="preserve">Six reviewers (EE, DC, EK, AJF, MD, KS) independently assessed titles and abstracts against inclusion criteria. This multi-reviewer approach was implemented to manage the substantial volume of citations while enhancing the identification of relevant studies through diverse expertise. Full-text articles were then evaluated by the same reviewers, with two senior reviewers (SB, SG) resolving disagreements through discussion and consensus. Regular calibration meetings ensured consistent application of inclusion criteria across all reviewers.</t>
  </si>
  <si>
    <t xml:space="preserve">Every statement in the answer is directly stated in the evidence: six independent reviewers, the same reviewers screening full texts, two senior reviewers resolving disagreements by consensus, and calibration meetings.</t>
  </si>
  <si>
    <t xml:space="preserve">What screening process and disagreement resolution did a nursing-education generative AI scoping review use?</t>
  </si>
  <si>
    <t xml:space="preserve">How were titles, abstracts, and full texts assessed, and conflicts settled, in a review of generative AI in nursing education?</t>
  </si>
  <si>
    <t xml:space="preserve">patterns-advances-and-gaps-in-using-chatgpt-and:0004:q4</t>
  </si>
  <si>
    <t xml:space="preserve">In a scoping review's recommendations for nursing education, what do incentive structures for equitable GenAI access involve?</t>
  </si>
  <si>
    <t xml:space="preserve">Incentive structures should promote equitable access to GenAI technologies across diverse settings. They should pay particular attention to underserved populations and low-resource settings. Targeted strategies are needed for bridging digital divides and maximising global applicability. (Patterns, advances, and gaps in using ChatGPT and similar technologies in nursing education: A PAGER scoping review, p. 8)</t>
  </si>
  <si>
    <t xml:space="preserve">To address identified disparities, incentive structures should promote equitable access to GenAI technologies across diverse settings, with particular attention to underserved populations and low-resource settings. Targeted strategies are needed for bridging digital divides and maximising global applicability.</t>
  </si>
  <si>
    <t xml:space="preserve">Every statement in the answer matches the evidence directly: incentive structures should promote equitable access across diverse settings, with attention to underserved populations and low-resource settings, and targeted strategies are needed to bridge digital divides.</t>
  </si>
  <si>
    <t xml:space="preserve">What should incentive structures aimed at equitable generative AI access in nursing education accomplish?</t>
  </si>
  <si>
    <t xml:space="preserve">How are incentive structures for fair GenAI access described in recommendations for nursing education?</t>
  </si>
  <si>
    <t xml:space="preserve">patterns-advances-and-gaps-in-using-chatgpt-and:0016:q1</t>
  </si>
  <si>
    <t xml:space="preserve">What does it mean for generative AI implementation in nursing assessment generation and clinical simulation to be pedagogically aligned?</t>
  </si>
  <si>
    <t xml:space="preserve">Implementation should follow evidence-based approaches in assessment generation and clinical simulation development. It should align with established pedagogical frameworks. The aim is to enhance rather than replace effective teaching practices. (Patterns, advances, and gaps in using ChatGPT and similar technologies in nursing education: A PAGER scoping review, p. 8)</t>
  </si>
  <si>
    <t xml:space="preserve">Implementation should follow evidence-based approaches in assessment generation and clinical simulation development, aligning with established pedagogical frameworks to enhance rather than replace effective teaching practices.</t>
  </si>
  <si>
    <t xml:space="preserve">Every statement in the answer restates the single evidence sentence: follow evidence-based approaches, align with established pedagogical frameworks, and enhance rather than replace teaching. Nothing is added.</t>
  </si>
  <si>
    <t xml:space="preserve">How should GenAI be implemented in nursing assessment generation and clinical simulation development to align with pedagogy?</t>
  </si>
  <si>
    <t xml:space="preserve">What does aligning generative AI use in nursing simulations and assessments with pedagogical frameworks entail?</t>
  </si>
  <si>
    <t xml:space="preserve">patterns-advances-and-gaps-in-using-chatgpt-and:0016:q3</t>
  </si>
  <si>
    <t xml:space="preserve">What do technical recommendations for generative AI in nursing education involve?</t>
  </si>
  <si>
    <t xml:space="preserve">Technical recommendations focus on improving GenAI's accuracy and reducing bias. This is to be done by refining models so that they better reflect nursing standards and classification systems. (Patterns, advances, and gaps in using ChatGPT and similar technologies in nursing education: A PAGER scoping review, p. 7)</t>
  </si>
  <si>
    <t xml:space="preserve">Technical recommendations focus on improving GenAI's accuracy and reducing bias by refining models to reflect nursing standards and classification systems better (Gosak et al., 2024; Ye, 2024).</t>
  </si>
  <si>
    <t xml:space="preserve">procurement_technology</t>
  </si>
  <si>
    <t xml:space="preserve">Every statement in the answer restates the evidence directly: improving accuracy, reducing bias, and refining models to better reflect nursing standards and classification systems.</t>
  </si>
  <si>
    <t xml:space="preserve">In nursing education, what technical improvements to GenAI tools are recommended?</t>
  </si>
  <si>
    <t xml:space="preserve">What do technical recommendations call for regarding the accuracy and bias of GenAI used in nursing education?</t>
  </si>
  <si>
    <t xml:space="preserve">patterns-advances-and-gaps-in-using-chatgpt-and:0013:q1</t>
  </si>
  <si>
    <t xml:space="preserve">Why is longitudinal and outcome evaluation research recommended for GenAI in nursing education?</t>
  </si>
  <si>
    <t xml:space="preserve">Longitudinal and outcome evaluation studies are needed to determine the enduring effects of GenAI integration. There is particular emphasis on how GenAI influences students' development of ethical reasoning. (Patterns, advances, and gaps in using ChatGPT and similar technologies in nursing education: A PAGER scoping review, p. 7)</t>
  </si>
  <si>
    <t xml:space="preserve">research recommendations emphasise the need for longitudinal and outcome evaluation studies to determine the enduring effects of GenAI integration (Benfatah et al., 2024; Chang et al., 2024; Cox et al., 2023; De Gagne et al., 2024), particularly focusing on how GenAI influences students' development of ethical reasoning (De Gagne et al., 2024).</t>
  </si>
  <si>
    <t xml:space="preserve">Both statements in the answer are taken directly from the evidence: the studies are needed to determine the enduring effects of GenAI integration, with particular attention to how GenAI influences students' ethical reasoning.</t>
  </si>
  <si>
    <t xml:space="preserve">What is the purpose of longitudinal studies on GenAI integration in nursing education?</t>
  </si>
  <si>
    <t xml:space="preserve">Why do researchers call for long-term outcome studies of GenAI in nursing education, particularly regarding ethical reasoning?</t>
  </si>
  <si>
    <t xml:space="preserve">patterns-advances-and-gaps-in-using-chatgpt-and:0013:q3</t>
  </si>
  <si>
    <t xml:space="preserve">What levels does the conceptual framework for generative AI in entrepreneurship education integrate, and what theories ground it?</t>
  </si>
  <si>
    <t xml:space="preserve">The framework integrates micro-level instructional applications with meso-level competency development and macro-level ecosystem readiness. It is grounded in constructivism, experiential learning, and social cognitive theory. (Toward understanding the role of generative AI in entrepreneurship education: A systematic review, p. 1)</t>
  </si>
  <si>
    <t xml:space="preserve">this study proposes a set of research propositions and a conceptual framework that integrates micro-level instructional applications with meso-level competency development and macro-level ecosystem readiness. These are grounded in educational theories, including constructivism, experiential learning, and social cognitive theory.</t>
  </si>
  <si>
    <t xml:space="preserve">The evidence directly states all three levels and all three theories, so every claim in the answer is supported.</t>
  </si>
  <si>
    <t xml:space="preserve">What does the conceptual framework proposed in a systematic review of generative AI in entrepreneurship education comprise, and what theoretical foundations does it use?</t>
  </si>
  <si>
    <t xml:space="preserve">Which micro, meso and macro components make up the framework for generative AI-enabled entrepreneurship education, and which educational theories underpin it?</t>
  </si>
  <si>
    <t xml:space="preserve">toward-understanding-the-role-of-generative-ai:0000:q2</t>
  </si>
  <si>
    <t xml:space="preserve">Why should the long-term impact of generative AI on entrepreneurial competence and mindset be treated with caution?</t>
  </si>
  <si>
    <t xml:space="preserve">Most studies on generative AI in entrepreneurship education are either conceptual or limited to small-scale exploratory evidence. As a result, the long-term impact on entrepreneurial competence, mindset, and outcomes remains uncertain and calls for empirical caution. The field also remains at an early exploratory stage despite growing interest in tools such as ChatGPT. (Toward understanding the role of generative AI in entrepreneurship education: A systematic review, p. 1)</t>
  </si>
  <si>
    <t xml:space="preserve">Although promising use cases are identified, most studies are either conceptual or limited to small-scale exploratory evidence. As such, the longterm impact of GAI on entrepreneurial competence, mindset, and outcomes remains uncertain and calls for empirical caution. … While recent years have witnessed an increasing interest in applying GAI tools, such as ChatGPT, to support personalized learning, business model simulation, and decisionmaking, the field remains at an early exploratory stage.</t>
  </si>
  <si>
    <t xml:space="preserve">Every statement in the answer is directly supported by the evidence. This covers the conceptual or small-scale studies, the uncertain long-term impact that calls for empirical caution, and the early exploratory stage despite interest in tools like ChatGPT.</t>
  </si>
  <si>
    <t xml:space="preserve">Why is the long-term effect of generative AI on entrepreneurship education outcomes still uncertain?</t>
  </si>
  <si>
    <t xml:space="preserve">What about the current evidence base makes claims about generative AI's lasting impact on entrepreneurial competence and mindset uncertain?</t>
  </si>
  <si>
    <t xml:space="preserve">toward-understanding-the-role-of-generative-ai:0000:q4</t>
  </si>
  <si>
    <t xml:space="preserve">In a systematic review of generative AI in entrepreneurship education, what technical alignment did a study need to show to be retained as being about generative AI?</t>
  </si>
  <si>
    <t xml:space="preserve">Studies were retained only if they showed a clear conceptual or technical alignment with the core characteristics of generative AI. This included the use of generative adversarial networks (GANs), LLMs, transformer-based architectures, or neural networks specifically designed for content generation. Studies that used 'Artificial Intelligence' in a broad or generic sense without generative functionalities were excluded. (Toward understanding the role of generative AI in entrepreneurship education: A systematic review, p. 3)</t>
  </si>
  <si>
    <t xml:space="preserve">Specifically, studies were retained only if they demonstrated a clear conceptual or technical alignment with the core characteristics of GAI including the use of generative adversarial networks (GANs), LLMs, transformer-based architectures, or neural networks specifically designed for content generation. In contrast, studies that referred to "Artificial Intelligence" in a broad or generic sense without involving generative functionalities were excluded.</t>
  </si>
  <si>
    <t xml:space="preserve">Every statement in the answer, including the retention criterion, the listed architectures and the exclusion of generic AI studies, is directly stated in the evidence.</t>
  </si>
  <si>
    <t xml:space="preserve">What conceptual or technical characteristics qualified a study as generative AI research in a systematic review of entrepreneurship education?</t>
  </si>
  <si>
    <t xml:space="preserve">Which criteria did a systematic review of generative AI in entrepreneurship education use to decide that a study counted as generative AI?</t>
  </si>
  <si>
    <t xml:space="preserve">toward-understanding-the-role-of-generative-ai:0005:q0</t>
  </si>
  <si>
    <t xml:space="preserve">What is reference tracking, as used in a systematic review of generative AI in entrepreneurship education?</t>
  </si>
  <si>
    <t xml:space="preserve">Reference tracking is described as a commonly used method in literature reviews to uncover potentially overlooked studies. In the review, it identified two additional papers beyond the 48 qualified studies selected. Together these formed the final 50 articles used for data extraction and synthesis. (Toward understanding the role of generative AI in entrepreneurship education: A systematic review, p. 3)</t>
  </si>
  <si>
    <t xml:space="preserve">In total, 48 qualified studies were selected, along with two additional papers identified through reference tracking, a commonly used method in literature reviews to uncover potentially overlooked studies (Chen et al., 2024; Hennink &amp; Kaiser, 2022). The final 50 articles were included for data extraction and synthesis.</t>
  </si>
  <si>
    <t xml:space="preserve">Every claim in the answer is stated directly in the evidence: the definition of reference tracking, the two additional papers beyond the 48 qualified studies, and the final 50 articles used for data extraction and synthesis.</t>
  </si>
  <si>
    <t xml:space="preserve">How does a systematic review of generative AI in entrepreneurship education describe the purpose of reference tracking?</t>
  </si>
  <si>
    <t xml:space="preserve">In the screening of studies on generative AI in entrepreneurship education, what role did reference tracking play?</t>
  </si>
  <si>
    <t xml:space="preserve">toward-understanding-the-role-of-generative-ai:0005:q2</t>
  </si>
  <si>
    <t xml:space="preserve">Which quality levels of studies were kept in the dataset of a systematic review of generative AI in entrepreneurship education?</t>
  </si>
  <si>
    <t xml:space="preserve">Only high- and moderate-quality studies were included in the dataset. Low-quality research was excluded. High quality meant a score of 5 points or more, and moderate meant 3-4 points. (Toward understanding the role of generative AI in entrepreneurship education: A systematic review, p. 3)</t>
  </si>
  <si>
    <t xml:space="preserve">Only high and moderate-quality studies were included in the dataset, while low-quality research was excluded. … Each study was scored based on predefined criteria: 2 points for fully meeting the standards, 1 point for partially meeting them, and 0 points for failing to meet them (Zhang &amp; Ramayah, 2024). Based on the total score, research quality was categorized as high (≥5 points), moderate (3-4 points), or low (&lt;3 points).</t>
  </si>
  <si>
    <t xml:space="preserve">Every claim in the answer is stated directly in the evidence. This covers the inclusion of high and moderate quality studies, the exclusion of low quality studies, and the point thresholds (high = 5 or more, moderate = 3-4).</t>
  </si>
  <si>
    <t xml:space="preserve">In a review of generative AI in entrepreneurship education, which quality categories were included and which were excluded?</t>
  </si>
  <si>
    <t xml:space="preserve">What quality-based inclusion rule did a systematic review of generative AI in entrepreneurship education apply to its dataset?</t>
  </si>
  <si>
    <t xml:space="preserve">toward-understanding-the-role-of-generative-ai:0005:q4</t>
  </si>
  <si>
    <t xml:space="preserve">What three core dimensions through which generative AI enhances entrepreneurship education were identified in a systematic review of 50 papers?</t>
  </si>
  <si>
    <t xml:space="preserve">The review identified three core dimensions: teaching and learning, entrepreneurial capabilities, and the entrepreneurial ecosystem. These dimensions describe how generative AI enhances entrepreneurship education. (Toward understanding the role of generative AI in entrepreneurship education: A systematic review, p. 14)</t>
  </si>
  <si>
    <t xml:space="preserve">This study systematically reviewed 50 relevant papers and identified three core dimensions of GAI enhancing EE: teaching and learning, entrepreneurial capabilities, and the entrepreneurial ecosystem.</t>
  </si>
  <si>
    <t xml:space="preserve">The evidence directly names the three dimensions (teaching and learning, entrepreneurial capabilities, entrepreneurial ecosystem) from a review of 50 papers on GAI enhancing EE. The answer adds nothing beyond this.</t>
  </si>
  <si>
    <t xml:space="preserve">A systematic review of 50 papers on generative AI in entrepreneurship education grouped its contributions into which three dimensions?</t>
  </si>
  <si>
    <t xml:space="preserve">Which three core dimensions of generative AI's enhancement of entrepreneurship education emerged from a 50-paper systematic review?</t>
  </si>
  <si>
    <t xml:space="preserve">toward-understanding-the-role-of-generative-ai:0024:q0</t>
  </si>
  <si>
    <t xml:space="preserve">What benefits for startup teams have been reported when AI is incorporated into entrepreneurship training?</t>
  </si>
  <si>
    <t xml:space="preserve">Incorporating AI into entrepreneurship training improves market forecasting accuracy for startup teams. It also supports their ability to integrate resources effectively. (Toward understanding the role of generative AI in entrepreneurship education: A systematic review, p. 14)</t>
  </si>
  <si>
    <t xml:space="preserve">Additional research reflects that incorporating AI into entrepreneurship training improves market forecasting accuracy for startup teams and supports their ability to integrate resources effectively (Kang, 2022; Xu &amp; Sun, 2022).</t>
  </si>
  <si>
    <t xml:space="preserve">Both claims, improved market forecasting accuracy and effective resource integration, are stated directly in the evidence.</t>
  </si>
  <si>
    <t xml:space="preserve">How does adding AI to entrepreneurship training affect startup teams, according to the research reviewed?</t>
  </si>
  <si>
    <t xml:space="preserve">What improvements in startup teams' abilities are associated with AI-supported entrepreneurship training?</t>
  </si>
  <si>
    <t xml:space="preserve">toward-understanding-the-role-of-generative-ai:0024:q1</t>
  </si>
  <si>
    <t xml:space="preserve">Why do AI-driven entrepreneurial simulation systems help students develop entrepreneurial decision-making skills?</t>
  </si>
  <si>
    <t xml:space="preserve">These systems let students practice entrepreneurial decision-making in a low-risk environment. They also provide instant feedback. Together, this improves students' ability to handle complex business scenarios. (Toward understanding the role of generative AI in entrepreneurship education: A systematic review, p. 14)</t>
  </si>
  <si>
    <t xml:space="preserve">AI-driven entrepreneurial simulation systems enable students to practice entrepreneurial decision-making in a low-risk environment, providing instant feedback and improving their ability to handle complex business scenarios (Chen et al., 2022; Mavlutova et al., 2020; Nowak, 2020).</t>
  </si>
  <si>
    <t xml:space="preserve">Every claim in the answer is stated directly in the evidence: practice in a low-risk environment, instant feedback, and improved ability to handle complex business scenarios.</t>
  </si>
  <si>
    <t xml:space="preserve">How do AI-driven simulation systems improve students' entrepreneurial decision-making?</t>
  </si>
  <si>
    <t xml:space="preserve">What makes AI entrepreneurial simulations useful for practicing decisions in entrepreneurship education?</t>
  </si>
  <si>
    <t xml:space="preserve">toward-understanding-the-role-of-generative-ai:0024:q2</t>
  </si>
  <si>
    <t xml:space="preserve">What is the basis of the three-dimension classification of generative AI in entrepreneurship education?</t>
  </si>
  <si>
    <t xml:space="preserve">The classification is based on AI applications at different stages of entrepreneurship education. It covers the transition from individual learning to entrepreneurial practice. It also covers the broader evolution of the entrepreneurial ecosystem. (Toward understanding the role of generative AI in entrepreneurship education: A systematic review, p. 14)</t>
  </si>
  <si>
    <t xml:space="preserve">This classification is based on AI applications at different stages of EE, covering the transition from individual learning to entrepreneurial practice and the broader evolution of the entrepreneurial ecosystem.</t>
  </si>
  <si>
    <t xml:space="preserve">Each sentence of the answer restates the evidence directly: the classification rests on AI applications at different stages of EE, covers the move from individual learning to entrepreneurial practice, and covers the broader evolution of the ecosystem.</t>
  </si>
  <si>
    <t xml:space="preserve">On what basis were the teaching and learning, entrepreneurial capabilities, and ecosystem dimensions of generative AI in entrepreneurship education organized?</t>
  </si>
  <si>
    <t xml:space="preserve">How is the classification of generative AI's roles in entrepreneurship education into three dimensions grounded?</t>
  </si>
  <si>
    <t xml:space="preserve">toward-understanding-the-role-of-generative-ai:0024:q3</t>
  </si>
  <si>
    <t xml:space="preserve">An entrepreneurship program at a university wants students to learn more flexibly outside class hours and gain confidence in building business plans. Which AI tools does the evidence suggest, and what would each contribute?</t>
  </si>
  <si>
    <t xml:space="preserve">LLM-based intelligent question-answering tools remove classroom constraints of time and instructor availability, making learning more autonomous and flexible. AI-powered business plan evaluation systems give intelligent feedback that helps students understand business model development and market analysis. This in turn increases their entrepreneurial confidence. (Toward understanding the role of generative AI in entrepreneurship education: A systematic review, p. 14)</t>
  </si>
  <si>
    <t xml:space="preserve">Additionally, intelligent question-answering tools based on LLMs remove traditional classroom constraints related to time and instructor availability, making learning more autonomous and flexible (Liang &amp; Bai, 2024; Torres Ortega et al., 2025). … For example, AI-powered business plan evaluation systems provide intelligent feedback, helping students better understand critical aspects of business model development and market analysis, thereby increasing their entrepreneurial confidence (Lesinskis et al., 2023; T. Nuseir et al., 2020).</t>
  </si>
  <si>
    <t xml:space="preserve">Every claim in the answer is stated directly in the evidence: the LLM-based Q&amp;A tools that remove time and instructor constraints, and the business plan evaluation systems that give feedback and increase entrepreneurial confidence.</t>
  </si>
  <si>
    <t xml:space="preserve">A university entrepreneurship course wants to support learning beyond scheduled class time and boost students' confidence with business plans. What AI tools are suggested and what do they offer?</t>
  </si>
  <si>
    <t xml:space="preserve">How could an entrepreneurship instructor use AI to make learning more autonomous and to strengthen student confidence in business planning?</t>
  </si>
  <si>
    <t xml:space="preserve">toward-understanding-the-role-of-generative-ai:0024:q4</t>
  </si>
  <si>
    <t xml:space="preserve">What kinds of data sources should future studies of generative AI in entrepreneurship education add to give a more balanced perspective?</t>
  </si>
  <si>
    <t xml:space="preserve">Future studies should incorporate unpublished datasets, industry reports, and real-world educational experiments. This would provide a more balanced perspective. (Toward understanding the role of generative AI in entrepreneurship education: A systematic review, p. 19)</t>
  </si>
  <si>
    <t xml:space="preserve">Future studies should incorporate unpublished datasets, industry reports, and real-world educational experiments to provide a more balanced perspective.</t>
  </si>
  <si>
    <t xml:space="preserve">The answer repeats the evidence almost word for word: unpublished datasets, industry reports, and real-world educational experiments, added to give a more balanced perspective.</t>
  </si>
  <si>
    <t xml:space="preserve">Which data sources are recommended for future research on generative AI in entrepreneurship education to balance the evidence?</t>
  </si>
  <si>
    <t xml:space="preserve">To obtain a more balanced view, what should later studies of generative AI in entrepreneurship education incorporate?</t>
  </si>
  <si>
    <t xml:space="preserve">toward-understanding-the-role-of-generative-ai:0033:q2</t>
  </si>
  <si>
    <t xml:space="preserve">Which research settings are uncertain targets for the findings on generative AI in entrepreneurship education, given that most reviewed studies focus on universities?</t>
  </si>
  <si>
    <t xml:space="preserve">Most reviewed studies focus on higher education, particularly the university level, which limits generalizability. Applicability to vocational training, informal learning, or culturally diverse educational environments remains uncertain. (Toward understanding the role of generative AI in entrepreneurship education: A systematic review, p. 19)</t>
  </si>
  <si>
    <t xml:space="preserve">Second, the generalizability of the findings is limited by the fact that most reviewed studies focus on higher education, particularly at the university level. The applicability of these approaches to other contexts, such as vocational training, informal learning, or culturally diverse educational environments, remains uncertain. Expanding research to include longitudinal and cross-cultural analyses would provide deeper insights into the sustained impact and adaptability of GAI-enabled EE.</t>
  </si>
  <si>
    <t xml:space="preserve">Every statement in the answer is directly stated in the evidence: the focus on university-level higher education limits generalizability, and applicability to vocational training, informal learning, and culturally diverse environments is uncertain.</t>
  </si>
  <si>
    <t xml:space="preserve">Because most studies reviewed were at the university level, to which other contexts is the applicability of generative AI entrepreneurship education findings unclear?</t>
  </si>
  <si>
    <t xml:space="preserve">What contexts beyond higher education remain uncertain for generative AI-enabled entrepreneurship education findings?</t>
  </si>
  <si>
    <t xml:space="preserve">toward-understanding-the-role-of-generative-ai:0033:q3</t>
  </si>
  <si>
    <t xml:space="preserve">What is Generative AI in relation to the broader field of artificial intelligence and machine learning?</t>
  </si>
  <si>
    <t xml:space="preserve">Generative AI is a part of AI within the realm of machine learning. It focuses on creating new content, such as text, images, audio, or video, by learning from existing data. (Be AIware! An AI Competency Model for K-12 Education, p. 2)</t>
  </si>
  <si>
    <t xml:space="preserve">Generative Artificial Intelligence (GAI) is a part of AI in the realm of machine learning (ML) that focuses on creating new content, such as text, images, audio, or video, by learning from existing data.</t>
  </si>
  <si>
    <t xml:space="preserve">Every statement in the answer is taken directly from the evidence. This includes the placement within AI and machine learning, the focus on creating new content, the listed content types, and learning from existing data.</t>
  </si>
  <si>
    <t xml:space="preserve">How is Generative AI defined as a part of AI and machine learning?</t>
  </si>
  <si>
    <t xml:space="preserve">What does the term Generative AI refer to?</t>
  </si>
  <si>
    <t xml:space="preserve">be-aiware-an-ai-competency-model-for-k-12:0002:q1</t>
  </si>
  <si>
    <t xml:space="preserve">Which three key issues does generative AI raise for younger K-12 students who can use these tools independently?</t>
  </si>
  <si>
    <t xml:space="preserve">The key issues are algorithmic bias, hallucinations (plausible but false information), and over-reliance. These can lead to inaccuracies and affect learning outcomes. They are distinct concerns because younger students can use these tools independently. (Be AIware! An AI Competency Model for K-12 Education, p. 2)</t>
  </si>
  <si>
    <t xml:space="preserve">While overlapping with general AI risks, GAI presents distinct concerns for younger students who can independently use these tools. Key issues include algorithmic bias, hallucinations (plausible but false information), and over-reliance, which can lead to inaccuracies and impact learning outcomes.</t>
  </si>
  <si>
    <t xml:space="preserve">The three issues and their effects (inaccuracies, impact on learning outcomes) are stated directly in the evidence. The final sentence adds a slight causal framing: the evidence says the concerns are distinct 'for' younger students who can use the tools independently, not 'because' they can.</t>
  </si>
  <si>
    <t xml:space="preserve">What are the main generative AI concerns for K-12 learners who use the tools on their own?</t>
  </si>
  <si>
    <t xml:space="preserve">Name the key problems that generative AI presents for younger students using it independently.</t>
  </si>
  <si>
    <t xml:space="preserve">be-aiware-an-ai-competency-model-for-k-12:0002:q2</t>
  </si>
  <si>
    <t xml:space="preserve">Why did a systematic literature review of AI competency models for K-12 education require that papers mention competencies, skills, or literacy in their titles?</t>
  </si>
  <si>
    <t xml:space="preserve">The inclusion criteria required papers to explicitly mention competencies, skills, or literacy in their title, so the review kept only papers centered on those concepts. The abstract also had to reference models, frameworks, curricula, K-12 education, or children. Papers also had to mention AI somewhere in the document. (Be AIware! An AI Competency Model for K-12 Education, p. 3)</t>
  </si>
  <si>
    <t xml:space="preserve">The inclusion criteria for this study required papers to explicitly mention competencies, skills, or literacy in their title. Additionally, the abstract needed to reference models, frameworks, curricula, K-12 education, or children. Furthermore, the study only considered papers that referenced AI in any part of the document.</t>
  </si>
  <si>
    <t xml:space="preserve">The three inclusion criteria (title, abstract, AI mention) are stated directly in the evidence. The claim that the review 'kept only papers centered on those concepts' is an obvious inference rather than a stated rationale, and the evidence never explains why the title requirement was chosen.</t>
  </si>
  <si>
    <t xml:space="preserve">What was the rationale behind requiring competencies, skills, or literacy in the title when screening papers on K-12 AI competency models?</t>
  </si>
  <si>
    <t xml:space="preserve">How did the title requirement shape which papers were included in a review of K-12 AI competency models?</t>
  </si>
  <si>
    <t xml:space="preserve">be-aiware-an-ai-competency-model-for-k-12:0004:q0</t>
  </si>
  <si>
    <t xml:space="preserve">Which five databases and what publication period did a systematic review of K-12 AI competency models for grades 7 to 12 search?</t>
  </si>
  <si>
    <t xml:space="preserve">The review searched AIS eLibrary, ScienceDirect, IEEE Xplore, ACM Digital Library, and Taylor &amp; Francis Online. It covered the period from 2015 to 2024. It followed the systematic approach of Webster and Watson (2002). (Be AIware! An AI Competency Model for K-12 Education, p. 3)</t>
  </si>
  <si>
    <t xml:space="preserve">We conducted a systematic literature review (Webster &amp; Watson, 2002) to identify AI competency models relevant to K-12 education, specifically focusing on grades 7 to 12. The review included searches across five major databases- AIS eLibrary, ScienceDirect, IEEE Xplore, ACM Digital Library, and Taylor &amp; Francis Online-covering the period from 2015 to 2024.</t>
  </si>
  <si>
    <t xml:space="preserve">The evidence directly names all five databases, the 2015–2024 period, and the Webster &amp; Watson (2002) systematic approach.</t>
  </si>
  <si>
    <t xml:space="preserve">For a literature review of AI competency models for grades 7 to 12, which databases were searched and which years were covered?</t>
  </si>
  <si>
    <t xml:space="preserve">What databases and date range were used in a systematic review identifying K-12 AI competency models?</t>
  </si>
  <si>
    <t xml:space="preserve">be-aiware-an-ai-competency-model-for-k-12:0004:q1</t>
  </si>
  <si>
    <t xml:space="preserve">How many teachers from how many middle schools took part in Chiu's 2021 study that developed a K-12 AI curriculum?</t>
  </si>
  <si>
    <t xml:space="preserve">Chiu's study involved 24 teachers from 12 middle schools. It is one of four K-12 AI curricula that primarily introduce basic AI concepts to students and teachers. The other three were mapped by UNESCO. (Be AIware! An AI Competency Model for K-12 Education, p. 3)</t>
  </si>
  <si>
    <t xml:space="preserve">Four K-12 AI curricula, three mapped by UNESCO (UNESCO, 2022; 2024a; 2024b) and the other developed by T. K. F. Chiu (2021), primarily introduce basic AI concepts to K-12 students and teachers. The UNESCO frameworks were created through an empirical approach involving surveys and interviews with educators, experts, and stakeholders in education and AI, while Chiu's study involved 24 teachers from 12 middle schools.</t>
  </si>
  <si>
    <t xml:space="preserve">Every claim, including the 24 teachers from 12 middle schools, the four curricula introducing basic AI concepts, and the three mapped by UNESCO, is stated directly in the evidence.</t>
  </si>
  <si>
    <t xml:space="preserve">In T. K. F. Chiu's 2021 K-12 AI curriculum study, how many teachers and schools were involved?</t>
  </si>
  <si>
    <t xml:space="preserve">What was the participant sample of Chiu's 2021 AI curriculum development for K-12?</t>
  </si>
  <si>
    <t xml:space="preserve">be-aiware-an-ai-competency-model-for-k-12:0004:q2</t>
  </si>
  <si>
    <t xml:space="preserve">A university teacher-education program wants to prepare future teachers to integrate AI into their teaching. Which existing AI competency model extension could it draw on?</t>
  </si>
  <si>
    <t xml:space="preserve">The program could draw on Celik (2023), who extended the TPACK model to include AI competencies for teacher development. For wider higher education competencies, Blok et al. (2021) developed a K-16 framework through collaborative academic partnerships. (Be AIware! An AI Competency Model for K-12 Education, p. 3)</t>
  </si>
  <si>
    <t xml:space="preserve">Higher education competencies are addressed by Blok et al. (2021), who developed a K-16 framework through collaborative academic partnerships. Celik (2023) extended the TPACK model to include AI competencies for teacher development</t>
  </si>
  <si>
    <t xml:space="preserve">Both factual claims, Celik's TPACK extension for teacher development and Blok et al.'s K-16 framework, are stated directly in the evidence. Recommending them to a teacher-education program is only an obvious applied inference.</t>
  </si>
  <si>
    <t xml:space="preserve">Which AI competency framework for teacher development could a teacher-training department at a university adopt to build AI competencies?</t>
  </si>
  <si>
    <t xml:space="preserve">A college of education needs a model for developing teachers' AI competencies; what extended framework does the evidence point to?</t>
  </si>
  <si>
    <t xml:space="preserve">be-aiware-an-ai-competency-model-for-k-12:0004:q3</t>
  </si>
  <si>
    <t xml:space="preserve">How does the Big Data knowledge competency in the AIware K-12 model advance learners' understanding of large datasets?</t>
  </si>
  <si>
    <t xml:space="preserve">The competency advances from basic awareness of large datasets to evaluating the challenges and opportunities that Big Data presents. Learners thus move from simply knowing that large datasets exist to making critical judgments about them. (Be AIware! An AI Competency Model for K-12 Education, p. 39)</t>
  </si>
  <si>
    <t xml:space="preserve">Advances from basic awareness of large datasets to evaluating the challenges and opportunities presented by Big Data.</t>
  </si>
  <si>
    <t xml:space="preserve">The first sentence restates the evidence directly. Describing the end point as 'making critical judgments' is a light but reasonable inference from 'evaluating'.</t>
  </si>
  <si>
    <t xml:space="preserve">What is the progression of the Big Data knowledge competency in the Be AIware K-12 AI competency model?</t>
  </si>
  <si>
    <t xml:space="preserve">In the AIware K-12 model, how does a learner's grasp of Big Data develop from basic to advanced?</t>
  </si>
  <si>
    <t xml:space="preserve">be-aiware-an-ai-competency-model-for-k-12:0057:q2</t>
  </si>
  <si>
    <t xml:space="preserve">Why were competencies such as GANs, algorithm explanation, model training types, and heuristic searches removed from a K-12 AI competency model?</t>
  </si>
  <si>
    <t xml:space="preserve">These items were considered too advanced for K-12 learners without specialized preparation. The decision aligns with Blikstein (2018), who cautions against introducing deep computer science topics without sufficient scaffolding. (Be AIware! An AI Competency Model for K-12 Education, p. 5)</t>
  </si>
  <si>
    <t xml:space="preserve">For example, items like GANs, algorithm explanation, model training types, and heuristic searches were considered too advanced for K-12 learners without specialized preparation. This decision aligns with findings from Blikstein (2018), who cautions against introducing deep computer science topics without sufficient scaffolding.</t>
  </si>
  <si>
    <t xml:space="preserve">Both statements in the answer are directly stated in the evidence: the items were judged too advanced for K-12 learners without specialized preparation, and this aligns with Blikstein's (2018) caution about insufficient scaffolding.</t>
  </si>
  <si>
    <t xml:space="preserve">What was the rationale for dropping highly technical items like GANs and heuristic searches from a K-12 AI competency list?</t>
  </si>
  <si>
    <t xml:space="preserve">Why did developers of a K-12 AI competency model consider topics like algorithm explanation and model training types unsuitable?</t>
  </si>
  <si>
    <t xml:space="preserve">be-aiware-an-ai-competency-model-for-k-12:0008:q2</t>
  </si>
  <si>
    <t xml:space="preserve">What classroom-relevant concerns did school teachers raise in interviews about a K-12 AI competency model?</t>
  </si>
  <si>
    <t xml:space="preserve">Teachers highlighted the risks of over-reliance on AI tools and the importance of independent thinking. They also pointed to integrating ethical reasoning into subjects like philosophy and social studies. (Be AIware! An AI Competency Model for K-12 Education, p. 5)</t>
  </si>
  <si>
    <t xml:space="preserve">Teachers highlighted classroom-relevant concerns, including the risks of over-reliance on AI tools, the importance of independent thinking, and the integration of ethical reasoning into subjects like philosophy and social studies</t>
  </si>
  <si>
    <t xml:space="preserve">Every claim in the answer appears directly in the evidence: over-reliance on AI tools, independent thinking, and ethical reasoning in philosophy and social studies.</t>
  </si>
  <si>
    <t xml:space="preserve">Which concerns did teachers highlight during interviews when a K-12 AI competency model was being developed?</t>
  </si>
  <si>
    <t xml:space="preserve">What issues related to classroom practice did teachers stress in interviews on K-12 AI competencies?</t>
  </si>
  <si>
    <t xml:space="preserve">be-aiware-an-ai-competency-model-for-k-12:0008:q3</t>
  </si>
  <si>
    <t xml:space="preserve">How was the K-12 AI competency model designed so that it could be used across different educational scenarios, and why does a granular structure help?</t>
  </si>
  <si>
    <t xml:space="preserve">The model was designed to be modular and mappable to existing subjects and educational frameworks, so it can be used across different educational scenarios. Insights from practice confirmed that a granular structure improves alignment with school-based needs and curricular integration. (Be AIware! An AI Competency Model for K-12 Education, p. 5)</t>
  </si>
  <si>
    <t xml:space="preserve">To address this, the model was designed to be modular and mappable to existing subjects and educational frameworks. … Insights from practice also confirmed that a granular structure improves alignment with school-based needs and curricular integration.</t>
  </si>
  <si>
    <t xml:space="preserve">The modular, mappable design and the benefit of granularity are stated directly. Linking the design to use 'across different educational scenarios' is a mild inference, because the evidence says only 'To address this' without showing what 'this' refers to.</t>
  </si>
  <si>
    <t xml:space="preserve">What design features let the K-12 AI competency model fit varied educational contexts, and what is the benefit of granularity?</t>
  </si>
  <si>
    <t xml:space="preserve">Why is the K-12 AI competency model modular and granular, and how does this support use in schools?</t>
  </si>
  <si>
    <t xml:space="preserve">be-aiware-an-ai-competency-model-for-k-12:0008:q4</t>
  </si>
  <si>
    <t xml:space="preserve">What does the European Union's General Data Protection Regulation set out that relates to transparency in AI?</t>
  </si>
  <si>
    <t xml:space="preserve">The GDPR sets standards for data protection and privacy in the EU. These include requirements for transparency and accountability in the use of personal data. It is cited as an initiative promoting transparency and confidentiality in AI. (Towards Ethical and Socially Responsible Explainable AI, p. 104)</t>
  </si>
  <si>
    <t xml:space="preserve">the European Union's General Data Protection Regulation (GDPR) [99] sets standards for data protection and privacy in the EU, including requirements for transparency and accountability in the use of personal data.</t>
  </si>
  <si>
    <t xml:space="preserve">The first two sentences match the evidence. The claim that the GDPR is cited as an initiative promoting transparency and confidentiality in AI does not appear in the quoted evidence.</t>
  </si>
  <si>
    <t xml:space="preserve">Which standards does the EU's GDPR establish that bear on transparency and accountability?</t>
  </si>
  <si>
    <t xml:space="preserve">What requirements does the GDPR impose regarding personal data use?</t>
  </si>
  <si>
    <t xml:space="preserve">towards-ethical:0051:q4</t>
  </si>
  <si>
    <t xml:space="preserve">Which case types do free legal aid clinics at Peruvian law schools most commonly handle, according to a survey of 31 institutions?</t>
  </si>
  <si>
    <t xml:space="preserve">Most free legal aid clinics (22 universities) accept cases of varying nature. Of the 31 clinics, 24 provided services in family law and 16 in criminal law. Only 15 handle civil law and 10 administrative cases, even though civil law is the most common practice area and citizens struggle with state bureaucracy. (Socially Responsible Higher Education, p. 223)</t>
  </si>
  <si>
    <t xml:space="preserve">most free legal aid clinics (22 universities) accept cases of varying nature. Out of the 31 clinics, 24 free legal aid clinics provided services in family law and 16 provided representation in criminal law cases.</t>
  </si>
  <si>
    <t xml:space="preserve">The claims about 15 clinics handling civil law and 10 handling administrative cases, along with the remarks that civil law is the most common practice area and that citizens struggle with state bureaucracy, do not appear in the evidence. The remaining statements are directly supported.</t>
  </si>
  <si>
    <t xml:space="preserve">In a survey of 31 Peruvian law schools, what kinds of cases do free legal aid clinics take, and how many offer family and criminal law?</t>
  </si>
  <si>
    <t xml:space="preserve">What areas of law do Peruvian free legal aid clinics cover, and how many provide civil and administrative services?</t>
  </si>
  <si>
    <t xml:space="preserve">budd-l-hall-rajesh-2021-socially-responsible:0120:q4</t>
  </si>
  <si>
    <t xml:space="preserve">Why do some scholars argue that Peru's Law 30220 requires universities to build a social responsibility component into all their programmes, rather than only managing their impact?</t>
  </si>
  <si>
    <t xml:space="preserve">The argument is that, read systematically, the Act obliges all universities to construct all their programmes with a social responsibility component. Focusing only on impact management under Article 124 would breach Articles 5, 6 and 130. Those articles set guiding principles such as inclusion and community engagement, and require a University Social Service Programme. (Socially Responsible Higher Education, pp. 219-220)</t>
  </si>
  <si>
    <t xml:space="preserve">we posit that the Act in fact obliges all universities to construct all their programmes with a social responsibility component. … Articles 5 and 6 establish that pluralism, inclusion, intercultural dialogue and commitment to the country's development are the guiding principles of higher education, and universities should strive to interact with the community and engage in socially relevant teaching and research. … Article 130 establishes the obligation to implement SRHEI. Per this article, every university should create a Programa de Servicio Social Universitario (University Social Service Programme), through which students apply knowledge in a way that improves the quality of life of people in traditionally marginalised groups.</t>
  </si>
  <si>
    <t xml:space="preserve">The evidence supports the obligation to give every programme a social responsibility component, the principles in Articles 5 and 6, and Article 130's University Social Service Programme. It never mentions Article 124, a 'systematic' reading, or any claim that impact management alone would breach those articles.</t>
  </si>
  <si>
    <t xml:space="preserve">On what reasoning is it claimed that Peru's 2014 university law obliges social responsibility in every university programme?</t>
  </si>
  <si>
    <t xml:space="preserve">Why would focusing only on impact management under Article 124 of Law 30220 be considered insufficient?</t>
  </si>
  <si>
    <t xml:space="preserve">budd-l-hall-rajesh-2021-socially-responsible:0118:q2</t>
  </si>
  <si>
    <t xml:space="preserve">How does Article 124 of Peru's Law 30220 define social responsibility in higher education (SRHEI)?</t>
  </si>
  <si>
    <t xml:space="preserve">Article 124 defines SRHEI as the ethical and effective management of the impact generated by the university in society. This includes impacts arising from the relationship between the university community, the environment and other public and private organisations. (Socially Responsible Higher Education, p. 219)</t>
  </si>
  <si>
    <t xml:space="preserve">Article 124 defines SRHEI as "the ethical and effective management of the impact generated by the university in society"</t>
  </si>
  <si>
    <t xml:space="preserve">The first sentence matches the quoted definition. The second sentence, about impacts arising from relationships between the university community, the environment and public and private organisations, is not in the evidence.</t>
  </si>
  <si>
    <t xml:space="preserve">What is the legal definition of SRHEI in Article 124 of Peru's 2014 university law?</t>
  </si>
  <si>
    <t xml:space="preserve">According to Peru's Law 30220, what does social responsibility in higher education mean?</t>
  </si>
  <si>
    <t xml:space="preserve">budd-l-hall-rajesh-2021-socially-responsible:0118:q3</t>
  </si>
  <si>
    <t xml:space="preserve">Why does a PAGER-based scoping review of generative AI in nursing education ask about gaps in current knowledge and practice?</t>
  </si>
  <si>
    <t xml:space="preserve">The Gaps question asks what gaps exist in current knowledge and practice regarding the use and integration of generative AI. This fits the review's broader aim of highlighting gaps in current evidence on how tools like ChatGPT are implemented in nursing education. (Patterns, advances, and gaps in using ChatGPT and similar technologies in nursing education: A PAGER scoping review, p. 2)</t>
  </si>
  <si>
    <t xml:space="preserve">What gaps exist in current knowledge and practice regarding GenAI use and integration? … This scoping review examines how GenAI tools such as ChatGPT are implemented in nursing education. It seeks to identify common implementation patterns, document technological advances, highlight gaps in current evidence, summarise practice-based findings, and propose recommendations for responsible integration.</t>
  </si>
  <si>
    <t xml:space="preserve">duplicate(cos=0.922 of patterns-advances-and-gaps-in-using-chatgpt-and:0003:q0)</t>
  </si>
  <si>
    <t xml:space="preserve">Both statements are directly stated in the evidence: the Gaps question wording and the review's aim to highlight gaps in current evidence on how GenAI tools such as ChatGPT are implemented in nursing education.</t>
  </si>
  <si>
    <t xml:space="preserve">What is the purpose of the Gaps question in a PAGER scoping review of generative AI in nursing education?</t>
  </si>
  <si>
    <t xml:space="preserve">How does the Gaps question fit into a PAGER review of generative AI use in nursing education?</t>
  </si>
  <si>
    <t xml:space="preserve">patterns-advances-and-gaps-in-using-chatgpt-and:0003:q2</t>
  </si>
  <si>
    <t xml:space="preserve">Why do reviewed studies recommend preserving traditional teaching methods when integrating AI into nursing curricula?</t>
  </si>
  <si>
    <t xml:space="preserve">Studies recommend systematically integrating AI while preserving traditional teaching methods so that innovation stays balanced with established pedagogical practices. This balance is maintained through integrating ethics and data literacy. Such integration was also noted as able to strengthen student writing skills. (Patterns, advances, and gaps in using ChatGPT and similar technologies in nursing education: A PAGER scoping review, p. 7)</t>
  </si>
  <si>
    <t xml:space="preserve">studies recommend systematically integrating AI into nursing education while preserving traditional teaching methods, noting that such integration can strengthen student writing skills (Parker et al., 2023) while maintaining balance between innovation and established pedagogical practices through ethics and data literacy integration</t>
  </si>
  <si>
    <t xml:space="preserve">All three claims (the balance between innovation and established pedagogy, the role of ethics and data literacy integration, and the strengthening of writing skills) appear in the evidence. However, the answer frames 'balance' as the purpose ("so that"), a causal reading the evidence only implies.</t>
  </si>
  <si>
    <t xml:space="preserve">How should nursing programs balance AI integration with traditional teaching, according to the reviewed studies?</t>
  </si>
  <si>
    <t xml:space="preserve">What is the rationale for keeping established pedagogy alongside AI in nursing education?</t>
  </si>
  <si>
    <t xml:space="preserve">patterns-advances-and-gaps-in-using-chatgpt-and:0013:q2</t>
  </si>
  <si>
    <t xml:space="preserve">What four major domains of generative AI use in entrepreneurship education were identified in a systematic review of 50 peer-reviewed articles published between 2019 and early 2025?</t>
  </si>
  <si>
    <t xml:space="preserve">The review found four major domains: personalized and adaptive instruction, simulation-based entrepreneurial training, ethical and psychological concerns, and ecosystem integration through intelligent systems. (Toward understanding the role of generative AI in entrepreneurship education: A systematic review, p. 1)</t>
  </si>
  <si>
    <t xml:space="preserve">The findings reveal four major domains in GAIenabled EE: personalized and adaptive instruction, simulation-based entrepreneurial training, ethical and psychological concerns, and ecosystem integration through intelligent systems.</t>
  </si>
  <si>
    <t xml:space="preserve">All four domains match the evidence verbatim. The details about 50 peer-reviewed articles from 2019 to early 2025 are not in the quoted evidence, but they appear only in the question framing, not as claims in the answer.</t>
  </si>
  <si>
    <t xml:space="preserve">Which four domains of generative AI-enabled entrepreneurship education emerged from a review of 50 peer-reviewed articles from 2019 to early 2025?</t>
  </si>
  <si>
    <t xml:space="preserve">According to a systematic review of 50 articles covering 2019 to early 2025, what are the main areas in which generative AI is used in entrepreneurship education?</t>
  </si>
  <si>
    <t xml:space="preserve">toward-understanding-the-role-of-generative-ai:0000:q0</t>
  </si>
  <si>
    <t xml:space="preserve">Why does the thematic-analysis design of the review limit what can be concluded about how generative AI improves entrepreneurial competencies?</t>
  </si>
  <si>
    <t xml:space="preserve">The review used thematic analysis and did not include a meta-analysis, which could have given a quantitative assessment of generative AI's influence. Its reliance on prior research also limits the ability to establish causal relationships. Future work should integrate systematic meta-analyses and longitudinal empirical studies to validate the mechanisms through which generative AI improves entrepreneurial competencies. (Toward understanding the role of generative AI in entrepreneurship education: A systematic review, p. 19)</t>
  </si>
  <si>
    <t xml:space="preserve">This study employs thematic analysis to synthesize existing research and identify key trends; however, it does not include a meta-analysis, which could provide a quantitative assessment of GAI's influence. Moreover, reliance on prior research limits the ability to establish causal relationships. Future research should integrate systematic meta-analyses and longitudinal empirical studies to validate the mechanisms through which GAI improves entrepreneurial competencies and outcomes.</t>
  </si>
  <si>
    <t xml:space="preserve">Every claim in the answer is stated in the evidence: thematic analysis without a meta-analysis, reliance on prior research limiting causal claims, and the call for meta-analyses and longitudinal studies.</t>
  </si>
  <si>
    <t xml:space="preserve">How does using thematic analysis without meta-analysis restrict conclusions about generative AI's effect on entrepreneurial competencies?</t>
  </si>
  <si>
    <t xml:space="preserve">What methodological constraints of the review prevent causal claims about generative AI and entrepreneurial competencies, and what is suggested?</t>
  </si>
  <si>
    <t xml:space="preserve">toward-understanding-the-role-of-generative-ai:0033:q4</t>
  </si>
  <si>
    <t xml:space="preserve">A university uses an AI recruitment screening tool trained on past hiring records, and staff notice it favors particular demographic groups. What does the evidence suggest explains this?</t>
  </si>
  <si>
    <t xml:space="preserve">AI systems trained on biased data can unintentionally reinforce stereotypes or unfairly exclude certain groups. If historical hiring data reflects biased hiring practices, a recruitment system may favor particular demographics. This perpetuates inequalities. (Be AIware! An AI Competency Model for K-12 Education, p. 2)</t>
  </si>
  <si>
    <t xml:space="preserve">AI systems trained on biased data can unintentionally reinforce stereotypes or unfairly exclude certain groups. For example, AI-driven recruitment systems may favor particular demographics if historical data reflects biased hiring practices, perpetuating inequalities.</t>
  </si>
  <si>
    <t xml:space="preserve">Every statement in the answer is taken almost verbatim from the evidence: biased training data reinforces stereotypes and exclusion, historical biased hiring data leads recruitment systems to favor certain demographics, and this perpetuates inequalities.</t>
  </si>
  <si>
    <t xml:space="preserve">An AI hiring tool trained on historical hiring data keeps favoring certain demographics. Why might this be happening?</t>
  </si>
  <si>
    <t xml:space="preserve">A college HR office finds its AI recruitment system disadvantages some groups. What underlying cause does the evidence point to?</t>
  </si>
  <si>
    <t xml:space="preserve">be-aiware-an-ai-competency-model-for-k-12:0002:q3</t>
  </si>
  <si>
    <t xml:space="preserve">In the Be AIware K-12 AI competency model, how does the Tables skill progress across levels?</t>
  </si>
  <si>
    <t xml:space="preserve">The Tables skill develops from basic data table comprehension to designing and interpreting complex tabular datasets. (Be AIware! An AI Competency Model for K-12 Education, p. 39)</t>
  </si>
  <si>
    <t xml:space="preserve">Develops from basic data table comprehension to designing and interpreting complex tabular datasets.</t>
  </si>
  <si>
    <t xml:space="preserve">The answer restates the evidence nearly verbatim, so every claim is directly supported.</t>
  </si>
  <si>
    <t xml:space="preserve">What progression does the Tables skill follow in the AIware AI competency model for K-12 education?</t>
  </si>
  <si>
    <t xml:space="preserve">In the K-12 AI competency model called Be AIware, what does development of the Tables skill look like from basic to advanced?</t>
  </si>
  <si>
    <t xml:space="preserve">be-aiware-an-ai-competency-model-for-k-12:0057:q0</t>
  </si>
  <si>
    <t xml:space="preserve">A secondary school teacher wants students to move beyond making simple charts toward using visualizations to support strategic decisions. Which competency in the AIware K-12 AI competency model does this match, and what does its progression involve?</t>
  </si>
  <si>
    <t xml:space="preserve">This matches the Visualization of datasets skill. It advances from creating simple visual representations of data to designing and interpreting complex visualizations that enhance understanding and support strategic decision-making. (Be AIware! An AI Competency Model for K-12 Education, p. 39)</t>
  </si>
  <si>
    <t xml:space="preserve">Advances from creating simple visual representations of data to designing and interpreting complex visualizations that enhance understanding and support strategic decision-making.</t>
  </si>
  <si>
    <t xml:space="preserve">The progression description is quoted directly from the evidence. However, the skill name 'Visualization of datasets', which is central to the answer, does not appear in the quoted evidence.</t>
  </si>
  <si>
    <t xml:space="preserve">A K-12 teacher aims to take students from basic charts to visuals that inform strategic decisions. Which AIware competency fits, and how does it progress?</t>
  </si>
  <si>
    <t xml:space="preserve">Which skill in the Be AIware K-12 model should a teacher target when students should progress from simple data graphics to complex visualizations guiding decisions, and what is its progression?</t>
  </si>
  <si>
    <t xml:space="preserve">be-aiware-an-ai-competency-model-for-k-12:0057:q1</t>
  </si>
  <si>
    <t xml:space="preserve">In the AIware K-12 AI competency model, what does the Structured and unstructured data competency involve?</t>
  </si>
  <si>
    <t xml:space="preserve">It involves distinguishing between data with well-defined structures and data without a predefined data model. (Be AIware! An AI Competency Model for K-12 Education, p. 39)</t>
  </si>
  <si>
    <t xml:space="preserve">Distinguishing between data with well-defined structures and data without a predefined data model.</t>
  </si>
  <si>
    <t xml:space="preserve">The answer reproduces the evidence verbatim, so nothing in it is unsupported.</t>
  </si>
  <si>
    <t xml:space="preserve">What does the Structured and unstructured data competency mean in the Be AIware K-12 model?</t>
  </si>
  <si>
    <t xml:space="preserve">In the AIware competency model for K-12, what is learners' task under the Structured and unstructured data competency?</t>
  </si>
  <si>
    <t xml:space="preserve">be-aiware-an-ai-competency-model-for-k-12:0057:q3</t>
  </si>
  <si>
    <t xml:space="preserve">Review progress</t>
  </si>
  <si>
    <t xml:space="preserve">Rows reviewed</t>
  </si>
  <si>
    <t xml:space="preserve">Priority rows reviewed (of 40)</t>
  </si>
  <si>
    <t xml:space="preserve">Human accept rate</t>
  </si>
  <si>
    <t xml:space="preserve">Human accept rate among filter-passed pairs</t>
  </si>
  <si>
    <t xml:space="preserve">Confusion matrix (reviewed rows only)</t>
  </si>
  <si>
    <t xml:space="preserve">Human accept</t>
  </si>
  <si>
    <t xml:space="preserve">Human reject</t>
  </si>
  <si>
    <t xml:space="preserve">Filters passed</t>
  </si>
  <si>
    <t xml:space="preserve">Filters rejected</t>
  </si>
  <si>
    <t xml:space="preserve">Observed agreement</t>
  </si>
  <si>
    <t xml:space="preserve">Cohen's kappa</t>
  </si>
  <si>
    <t xml:space="preserve">Human reject categories</t>
  </si>
  <si>
    <t xml:space="preserve">incorrect</t>
  </si>
  <si>
    <t xml:space="preserve">unsupported</t>
  </si>
  <si>
    <t xml:space="preserve">low_value</t>
  </si>
  <si>
    <t xml:space="preserve">unclear</t>
  </si>
  <si>
    <t xml:space="preserve">other</t>
  </si>
  <si>
    <t xml:space="preserve">Rows 9-10 = automatic filter decision; columns B-C = your verdict. Kappa above ~0.6 means the judge broadly matches your standard.</t>
  </si>
</sst>
</file>

<file path=xl/styles.xml><?xml version="1.0" encoding="utf-8"?>
<styleSheet xmlns="http://schemas.openxmlformats.org/spreadsheetml/2006/main">
  <numFmts count="4">
    <numFmt numFmtId="164" formatCode="General"/>
    <numFmt numFmtId="165" formatCode="General"/>
    <numFmt numFmtId="166" formatCode="0.0%"/>
    <numFmt numFmtId="167" formatCode="0.00"/>
  </numFmts>
  <fonts count="10">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sz val="11"/>
      <name val="Arial"/>
      <family val="0"/>
      <charset val="1"/>
    </font>
    <font>
      <b val="true"/>
      <sz val="11"/>
      <name val="Arial"/>
      <family val="0"/>
      <charset val="1"/>
    </font>
    <font>
      <b val="true"/>
      <sz val="11"/>
      <color rgb="FFFFFFFF"/>
      <name val="Arial"/>
      <family val="0"/>
      <charset val="1"/>
    </font>
    <font>
      <sz val="10"/>
      <name val="Arial"/>
      <family val="0"/>
      <charset val="1"/>
    </font>
    <font>
      <i val="true"/>
      <sz val="9"/>
      <name val="Arial"/>
      <family val="0"/>
      <charset val="1"/>
    </font>
  </fonts>
  <fills count="4">
    <fill>
      <patternFill patternType="none"/>
    </fill>
    <fill>
      <patternFill patternType="gray125"/>
    </fill>
    <fill>
      <patternFill patternType="solid">
        <fgColor rgb="FF1F3864"/>
        <bgColor rgb="FF333333"/>
      </patternFill>
    </fill>
    <fill>
      <patternFill patternType="solid">
        <fgColor rgb="FFFFF2CC"/>
        <bgColor rgb="FFFFFFFF"/>
      </patternFill>
    </fill>
  </fills>
  <borders count="2">
    <border diagonalUp="false" diagonalDown="false">
      <left/>
      <right/>
      <top/>
      <bottom/>
      <diagonal/>
    </border>
    <border diagonalUp="false" diagonalDown="false">
      <left/>
      <right/>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2" borderId="0" xfId="0" applyFont="true" applyBorder="fals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5" fontId="8" fillId="0" borderId="1"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6" fontId="5" fillId="0" borderId="0" xfId="0" applyFont="true" applyBorder="false" applyAlignment="false" applyProtection="false">
      <alignment horizontal="general" vertical="bottom" textRotation="0" wrapText="false" indent="0" shrinkToFit="false"/>
      <protection locked="true" hidden="false"/>
    </xf>
    <xf numFmtId="167" fontId="5"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8">
    <dxf>
      <fill>
        <patternFill patternType="solid">
          <fgColor rgb="FF1F3864"/>
          <bgColor rgb="FF000000"/>
        </patternFill>
      </fill>
    </dxf>
    <dxf>
      <fill>
        <patternFill patternType="solid">
          <fgColor rgb="FFDDEBF7"/>
          <bgColor rgb="FF000000"/>
        </patternFill>
      </fill>
    </dxf>
    <dxf>
      <fill>
        <patternFill patternType="solid">
          <bgColor rgb="FF000000"/>
        </patternFill>
      </fill>
    </dxf>
    <dxf>
      <fill>
        <patternFill patternType="solid">
          <fgColor rgb="FFFFFFFF"/>
          <bgColor rgb="FF000000"/>
        </patternFill>
      </fill>
    </dxf>
    <dxf>
      <fill>
        <patternFill patternType="solid">
          <fgColor rgb="FFFFF2CC"/>
          <bgColor rgb="FF000000"/>
        </patternFill>
      </fill>
    </dxf>
    <dxf>
      <fill>
        <patternFill>
          <bgColor rgb="FFC6EFCE"/>
        </patternFill>
      </fill>
    </dxf>
    <dxf>
      <fill>
        <patternFill>
          <bgColor rgb="FFFFC7CE"/>
        </patternFill>
      </fill>
    </dxf>
    <dxf>
      <fill>
        <patternFill>
          <bgColor rgb="FFDDEBF7"/>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DDEB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FC7CE"/>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10"/>
  </cols>
  <sheetData>
    <row r="1" customFormat="false" ht="17.35" hidden="false" customHeight="false" outlineLevel="0" collapsed="false">
      <c r="A1" s="1" t="s">
        <v>0</v>
      </c>
    </row>
    <row r="2" customFormat="false" ht="15" hidden="false" customHeight="false" outlineLevel="0" collapsed="false">
      <c r="A2" s="2"/>
    </row>
    <row r="3" customFormat="false" ht="15" hidden="false" customHeight="false" outlineLevel="0" collapsed="false">
      <c r="A3" s="3" t="s">
        <v>1</v>
      </c>
    </row>
    <row r="4" customFormat="false" ht="26.85" hidden="false" customHeight="false" outlineLevel="0" collapsed="false">
      <c r="A4" s="2" t="s">
        <v>2</v>
      </c>
    </row>
    <row r="5" customFormat="false" ht="26.85" hidden="false" customHeight="false" outlineLevel="0" collapsed="false">
      <c r="A5" s="2" t="s">
        <v>3</v>
      </c>
    </row>
    <row r="6" customFormat="false" ht="15" hidden="false" customHeight="false" outlineLevel="0" collapsed="false">
      <c r="A6" s="2" t="s">
        <v>4</v>
      </c>
    </row>
    <row r="7" customFormat="false" ht="15" hidden="false" customHeight="false" outlineLevel="0" collapsed="false">
      <c r="A7" s="2" t="s">
        <v>5</v>
      </c>
    </row>
    <row r="8" customFormat="false" ht="15" hidden="false" customHeight="false" outlineLevel="0" collapsed="false">
      <c r="A8" s="2"/>
    </row>
    <row r="9" customFormat="false" ht="15" hidden="false" customHeight="false" outlineLevel="0" collapsed="false">
      <c r="A9" s="3" t="s">
        <v>6</v>
      </c>
    </row>
    <row r="10" customFormat="false" ht="15" hidden="false" customHeight="false" outlineLevel="0" collapsed="false">
      <c r="A10" s="2" t="s">
        <v>7</v>
      </c>
    </row>
    <row r="11" customFormat="false" ht="15" hidden="false" customHeight="false" outlineLevel="0" collapsed="false">
      <c r="A11" s="2" t="s">
        <v>8</v>
      </c>
    </row>
    <row r="12" customFormat="false" ht="15" hidden="false" customHeight="false" outlineLevel="0" collapsed="false">
      <c r="A12" s="2" t="s">
        <v>9</v>
      </c>
    </row>
    <row r="13" customFormat="false" ht="15" hidden="false" customHeight="false" outlineLevel="0" collapsed="false">
      <c r="A13" s="2"/>
    </row>
    <row r="14" customFormat="false" ht="15" hidden="false" customHeight="false" outlineLevel="0" collapsed="false">
      <c r="A14" s="3" t="s">
        <v>10</v>
      </c>
    </row>
    <row r="15" customFormat="false" ht="15" hidden="false" customHeight="false" outlineLevel="0" collapsed="false">
      <c r="A15" s="2" t="s">
        <v>11</v>
      </c>
    </row>
    <row r="16" customFormat="false" ht="15" hidden="false" customHeight="false" outlineLevel="0" collapsed="false">
      <c r="A16" s="2" t="s">
        <v>12</v>
      </c>
    </row>
    <row r="17" customFormat="false" ht="15" hidden="false" customHeight="false" outlineLevel="0" collapsed="false">
      <c r="A17" s="2" t="s">
        <v>13</v>
      </c>
    </row>
    <row r="18" customFormat="false" ht="15" hidden="false" customHeight="false" outlineLevel="0" collapsed="false">
      <c r="A18" s="2" t="s">
        <v>14</v>
      </c>
    </row>
    <row r="19" customFormat="false" ht="15" hidden="false" customHeight="false" outlineLevel="0" collapsed="false">
      <c r="A19" s="2" t="s">
        <v>15</v>
      </c>
    </row>
    <row r="20" customFormat="false" ht="15" hidden="false" customHeight="false" outlineLevel="0" collapsed="false">
      <c r="A20" s="2" t="s">
        <v>16</v>
      </c>
    </row>
    <row r="21" customFormat="false" ht="15" hidden="false" customHeight="false" outlineLevel="0" collapsed="false">
      <c r="A21" s="2"/>
    </row>
    <row r="22" customFormat="false" ht="15" hidden="false" customHeight="false" outlineLevel="0" collapsed="false">
      <c r="A22" s="3" t="s">
        <v>17</v>
      </c>
    </row>
    <row r="23" customFormat="false" ht="26.85" hidden="false" customHeight="false" outlineLevel="0" collapsed="false">
      <c r="A23" s="2" t="s">
        <v>18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10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5" ySplit="1" topLeftCell="F2" activePane="bottomRight" state="frozen"/>
      <selection pane="topLeft" activeCell="A1" activeCellId="0" sqref="A1"/>
      <selection pane="topRight" activeCell="F1" activeCellId="0" sqref="F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9"/>
    <col collapsed="false" customWidth="true" hidden="false" outlineLevel="0" max="3" min="3" style="0" width="14"/>
    <col collapsed="false" customWidth="true" hidden="false" outlineLevel="0" max="4" min="4" style="0" width="18"/>
    <col collapsed="false" customWidth="true" hidden="false" outlineLevel="0" max="5" min="5" style="0" width="30"/>
    <col collapsed="false" customWidth="true" hidden="false" outlineLevel="0" max="6" min="6" style="0" width="45"/>
    <col collapsed="false" customWidth="true" hidden="false" outlineLevel="0" max="8" min="7" style="0" width="55"/>
    <col collapsed="false" customWidth="true" hidden="false" outlineLevel="0" max="9" min="9" style="0" width="10"/>
    <col collapsed="false" customWidth="true" hidden="false" outlineLevel="0" max="10" min="10" style="0" width="20"/>
    <col collapsed="false" customWidth="true" hidden="false" outlineLevel="0" max="11" min="11" style="0" width="12"/>
    <col collapsed="false" customWidth="true" hidden="false" outlineLevel="0" max="12" min="12" style="0" width="10"/>
    <col collapsed="false" customWidth="true" hidden="false" outlineLevel="0" max="13" min="13" style="0" width="18"/>
    <col collapsed="false" customWidth="true" hidden="false" outlineLevel="0" max="14" min="14" style="0" width="10"/>
    <col collapsed="false" customWidth="true" hidden="false" outlineLevel="0" max="15" min="15" style="0" width="11"/>
    <col collapsed="false" customWidth="true" hidden="false" outlineLevel="0" max="16" min="16" style="0" width="45"/>
    <col collapsed="false" customWidth="true" hidden="false" outlineLevel="0" max="18" min="17" style="0" width="35"/>
    <col collapsed="false" customWidth="true" hidden="false" outlineLevel="0" max="19" min="19" style="0" width="40"/>
  </cols>
  <sheetData>
    <row r="1" customFormat="false" ht="30" hidden="false" customHeight="true" outlineLevel="0" collapsed="false">
      <c r="A1" s="4" t="s">
        <v>19</v>
      </c>
      <c r="B1" s="4" t="s">
        <v>20</v>
      </c>
      <c r="C1" s="4" t="s">
        <v>21</v>
      </c>
      <c r="D1" s="4" t="s">
        <v>22</v>
      </c>
      <c r="E1" s="4" t="s">
        <v>23</v>
      </c>
      <c r="F1" s="4" t="s">
        <v>24</v>
      </c>
      <c r="G1" s="4" t="s">
        <v>25</v>
      </c>
      <c r="H1" s="4" t="s">
        <v>26</v>
      </c>
      <c r="I1" s="4" t="s">
        <v>27</v>
      </c>
      <c r="J1" s="4" t="s">
        <v>28</v>
      </c>
      <c r="K1" s="4" t="s">
        <v>29</v>
      </c>
      <c r="L1" s="4" t="s">
        <v>30</v>
      </c>
      <c r="M1" s="4" t="s">
        <v>31</v>
      </c>
      <c r="N1" s="4" t="s">
        <v>32</v>
      </c>
      <c r="O1" s="4" t="s">
        <v>33</v>
      </c>
      <c r="P1" s="4" t="s">
        <v>34</v>
      </c>
      <c r="Q1" s="4" t="s">
        <v>35</v>
      </c>
      <c r="R1" s="4" t="s">
        <v>36</v>
      </c>
      <c r="S1" s="4" t="s">
        <v>37</v>
      </c>
    </row>
    <row r="2" customFormat="false" ht="46.25" hidden="false" customHeight="false" outlineLevel="0" collapsed="false">
      <c r="A2" s="5" t="n">
        <v>1</v>
      </c>
      <c r="B2" s="6" t="b">
        <f aca="false">TRUE()</f>
        <v>1</v>
      </c>
      <c r="C2" s="7"/>
      <c r="D2" s="7"/>
      <c r="E2" s="7"/>
      <c r="F2" s="5" t="s">
        <v>38</v>
      </c>
      <c r="G2" s="5" t="s">
        <v>39</v>
      </c>
      <c r="H2" s="5" t="s">
        <v>40</v>
      </c>
      <c r="I2" s="6" t="b">
        <f aca="false">TRUE()</f>
        <v>1</v>
      </c>
      <c r="J2" s="5"/>
      <c r="K2" s="5" t="s">
        <v>41</v>
      </c>
      <c r="L2" s="5" t="s">
        <v>42</v>
      </c>
      <c r="M2" s="5" t="s">
        <v>43</v>
      </c>
      <c r="N2" s="5" t="n">
        <v>5</v>
      </c>
      <c r="O2" s="6" t="b">
        <f aca="false">TRUE()</f>
        <v>1</v>
      </c>
      <c r="P2" s="5" t="s">
        <v>44</v>
      </c>
      <c r="Q2" s="5" t="s">
        <v>45</v>
      </c>
      <c r="R2" s="5" t="s">
        <v>46</v>
      </c>
      <c r="S2" s="5" t="s">
        <v>47</v>
      </c>
    </row>
    <row r="3" customFormat="false" ht="68.65" hidden="false" customHeight="false" outlineLevel="0" collapsed="false">
      <c r="A3" s="5" t="n">
        <v>2</v>
      </c>
      <c r="B3" s="6" t="b">
        <f aca="false">TRUE()</f>
        <v>1</v>
      </c>
      <c r="C3" s="7"/>
      <c r="D3" s="7"/>
      <c r="E3" s="7"/>
      <c r="F3" s="5" t="s">
        <v>48</v>
      </c>
      <c r="G3" s="5" t="s">
        <v>49</v>
      </c>
      <c r="H3" s="5" t="s">
        <v>50</v>
      </c>
      <c r="I3" s="6" t="b">
        <f aca="false">TRUE()</f>
        <v>1</v>
      </c>
      <c r="J3" s="5"/>
      <c r="K3" s="5" t="s">
        <v>51</v>
      </c>
      <c r="L3" s="5" t="s">
        <v>52</v>
      </c>
      <c r="M3" s="5" t="s">
        <v>53</v>
      </c>
      <c r="N3" s="5" t="n">
        <v>5</v>
      </c>
      <c r="O3" s="6" t="b">
        <f aca="false">TRUE()</f>
        <v>1</v>
      </c>
      <c r="P3" s="5" t="s">
        <v>54</v>
      </c>
      <c r="Q3" s="5" t="s">
        <v>55</v>
      </c>
      <c r="R3" s="5" t="s">
        <v>56</v>
      </c>
      <c r="S3" s="5" t="s">
        <v>57</v>
      </c>
    </row>
    <row r="4" customFormat="false" ht="68.65" hidden="false" customHeight="false" outlineLevel="0" collapsed="false">
      <c r="A4" s="5" t="n">
        <v>3</v>
      </c>
      <c r="B4" s="6" t="b">
        <f aca="false">TRUE()</f>
        <v>1</v>
      </c>
      <c r="C4" s="7"/>
      <c r="D4" s="7"/>
      <c r="E4" s="7"/>
      <c r="F4" s="5" t="s">
        <v>58</v>
      </c>
      <c r="G4" s="5" t="s">
        <v>59</v>
      </c>
      <c r="H4" s="5" t="s">
        <v>60</v>
      </c>
      <c r="I4" s="6" t="b">
        <f aca="false">TRUE()</f>
        <v>1</v>
      </c>
      <c r="J4" s="5"/>
      <c r="K4" s="5" t="s">
        <v>51</v>
      </c>
      <c r="L4" s="5" t="s">
        <v>52</v>
      </c>
      <c r="M4" s="5" t="s">
        <v>53</v>
      </c>
      <c r="N4" s="5" t="n">
        <v>5</v>
      </c>
      <c r="O4" s="6" t="b">
        <f aca="false">TRUE()</f>
        <v>1</v>
      </c>
      <c r="P4" s="5" t="s">
        <v>61</v>
      </c>
      <c r="Q4" s="5" t="s">
        <v>62</v>
      </c>
      <c r="R4" s="5" t="s">
        <v>63</v>
      </c>
      <c r="S4" s="5" t="s">
        <v>64</v>
      </c>
    </row>
    <row r="5" customFormat="false" ht="57.45" hidden="false" customHeight="false" outlineLevel="0" collapsed="false">
      <c r="A5" s="5" t="n">
        <v>4</v>
      </c>
      <c r="B5" s="6" t="b">
        <f aca="false">TRUE()</f>
        <v>1</v>
      </c>
      <c r="C5" s="7"/>
      <c r="D5" s="7"/>
      <c r="E5" s="7"/>
      <c r="F5" s="5" t="s">
        <v>65</v>
      </c>
      <c r="G5" s="5" t="s">
        <v>66</v>
      </c>
      <c r="H5" s="5" t="s">
        <v>67</v>
      </c>
      <c r="I5" s="6" t="b">
        <f aca="false">TRUE()</f>
        <v>1</v>
      </c>
      <c r="J5" s="5"/>
      <c r="K5" s="5" t="s">
        <v>68</v>
      </c>
      <c r="L5" s="5" t="s">
        <v>42</v>
      </c>
      <c r="M5" s="5" t="s">
        <v>53</v>
      </c>
      <c r="N5" s="5" t="n">
        <v>4</v>
      </c>
      <c r="O5" s="6" t="b">
        <f aca="false">TRUE()</f>
        <v>1</v>
      </c>
      <c r="P5" s="5" t="s">
        <v>69</v>
      </c>
      <c r="Q5" s="5" t="s">
        <v>70</v>
      </c>
      <c r="R5" s="5" t="s">
        <v>71</v>
      </c>
      <c r="S5" s="5" t="s">
        <v>72</v>
      </c>
    </row>
    <row r="6" customFormat="false" ht="57.45" hidden="false" customHeight="false" outlineLevel="0" collapsed="false">
      <c r="A6" s="5" t="n">
        <v>5</v>
      </c>
      <c r="B6" s="6" t="b">
        <f aca="false">TRUE()</f>
        <v>1</v>
      </c>
      <c r="C6" s="7"/>
      <c r="D6" s="7"/>
      <c r="E6" s="7"/>
      <c r="F6" s="5" t="s">
        <v>73</v>
      </c>
      <c r="G6" s="5" t="s">
        <v>74</v>
      </c>
      <c r="H6" s="5" t="s">
        <v>75</v>
      </c>
      <c r="I6" s="6" t="b">
        <f aca="false">TRUE()</f>
        <v>1</v>
      </c>
      <c r="J6" s="5"/>
      <c r="K6" s="5" t="s">
        <v>41</v>
      </c>
      <c r="L6" s="5" t="s">
        <v>42</v>
      </c>
      <c r="M6" s="5" t="s">
        <v>53</v>
      </c>
      <c r="N6" s="5" t="n">
        <v>4</v>
      </c>
      <c r="O6" s="6" t="b">
        <f aca="false">TRUE()</f>
        <v>1</v>
      </c>
      <c r="P6" s="5" t="s">
        <v>76</v>
      </c>
      <c r="Q6" s="5" t="s">
        <v>77</v>
      </c>
      <c r="R6" s="5" t="s">
        <v>78</v>
      </c>
      <c r="S6" s="5" t="s">
        <v>79</v>
      </c>
    </row>
    <row r="7" customFormat="false" ht="46.25" hidden="false" customHeight="false" outlineLevel="0" collapsed="false">
      <c r="A7" s="5" t="n">
        <v>6</v>
      </c>
      <c r="B7" s="6" t="b">
        <f aca="false">TRUE()</f>
        <v>1</v>
      </c>
      <c r="C7" s="7"/>
      <c r="D7" s="7"/>
      <c r="E7" s="7"/>
      <c r="F7" s="5" t="s">
        <v>80</v>
      </c>
      <c r="G7" s="5" t="s">
        <v>81</v>
      </c>
      <c r="H7" s="5" t="s">
        <v>82</v>
      </c>
      <c r="I7" s="6" t="b">
        <f aca="false">TRUE()</f>
        <v>1</v>
      </c>
      <c r="J7" s="5"/>
      <c r="K7" s="5" t="s">
        <v>68</v>
      </c>
      <c r="L7" s="5" t="s">
        <v>42</v>
      </c>
      <c r="M7" s="5" t="s">
        <v>53</v>
      </c>
      <c r="N7" s="5" t="n">
        <v>5</v>
      </c>
      <c r="O7" s="6" t="b">
        <f aca="false">TRUE()</f>
        <v>1</v>
      </c>
      <c r="P7" s="5" t="s">
        <v>83</v>
      </c>
      <c r="Q7" s="5" t="s">
        <v>84</v>
      </c>
      <c r="R7" s="5" t="s">
        <v>85</v>
      </c>
      <c r="S7" s="5" t="s">
        <v>86</v>
      </c>
    </row>
    <row r="8" customFormat="false" ht="79.85" hidden="false" customHeight="false" outlineLevel="0" collapsed="false">
      <c r="A8" s="5" t="n">
        <v>7</v>
      </c>
      <c r="B8" s="6" t="b">
        <f aca="false">TRUE()</f>
        <v>1</v>
      </c>
      <c r="C8" s="7"/>
      <c r="D8" s="7"/>
      <c r="E8" s="7"/>
      <c r="F8" s="5" t="s">
        <v>87</v>
      </c>
      <c r="G8" s="5" t="s">
        <v>88</v>
      </c>
      <c r="H8" s="5" t="s">
        <v>89</v>
      </c>
      <c r="I8" s="6" t="b">
        <f aca="false">TRUE()</f>
        <v>1</v>
      </c>
      <c r="J8" s="5"/>
      <c r="K8" s="5" t="s">
        <v>51</v>
      </c>
      <c r="L8" s="5" t="s">
        <v>52</v>
      </c>
      <c r="M8" s="5" t="s">
        <v>90</v>
      </c>
      <c r="N8" s="5" t="n">
        <v>4</v>
      </c>
      <c r="O8" s="6" t="b">
        <f aca="false">TRUE()</f>
        <v>1</v>
      </c>
      <c r="P8" s="5" t="s">
        <v>91</v>
      </c>
      <c r="Q8" s="5" t="s">
        <v>92</v>
      </c>
      <c r="R8" s="5" t="s">
        <v>93</v>
      </c>
      <c r="S8" s="5" t="s">
        <v>94</v>
      </c>
    </row>
    <row r="9" customFormat="false" ht="57.45" hidden="false" customHeight="false" outlineLevel="0" collapsed="false">
      <c r="A9" s="5" t="n">
        <v>8</v>
      </c>
      <c r="B9" s="6" t="b">
        <f aca="false">TRUE()</f>
        <v>1</v>
      </c>
      <c r="C9" s="7"/>
      <c r="D9" s="7"/>
      <c r="E9" s="7"/>
      <c r="F9" s="5" t="s">
        <v>95</v>
      </c>
      <c r="G9" s="5" t="s">
        <v>96</v>
      </c>
      <c r="H9" s="5" t="s">
        <v>97</v>
      </c>
      <c r="I9" s="6" t="b">
        <f aca="false">TRUE()</f>
        <v>1</v>
      </c>
      <c r="J9" s="5"/>
      <c r="K9" s="5" t="s">
        <v>41</v>
      </c>
      <c r="L9" s="5" t="s">
        <v>42</v>
      </c>
      <c r="M9" s="5" t="s">
        <v>98</v>
      </c>
      <c r="N9" s="5" t="n">
        <v>4</v>
      </c>
      <c r="O9" s="6" t="b">
        <f aca="false">TRUE()</f>
        <v>1</v>
      </c>
      <c r="P9" s="5" t="s">
        <v>99</v>
      </c>
      <c r="Q9" s="5" t="s">
        <v>100</v>
      </c>
      <c r="R9" s="5" t="s">
        <v>101</v>
      </c>
      <c r="S9" s="5" t="s">
        <v>102</v>
      </c>
    </row>
    <row r="10" customFormat="false" ht="68.65" hidden="false" customHeight="false" outlineLevel="0" collapsed="false">
      <c r="A10" s="5" t="n">
        <v>9</v>
      </c>
      <c r="B10" s="6" t="b">
        <f aca="false">TRUE()</f>
        <v>1</v>
      </c>
      <c r="C10" s="7"/>
      <c r="D10" s="7"/>
      <c r="E10" s="7"/>
      <c r="F10" s="5" t="s">
        <v>103</v>
      </c>
      <c r="G10" s="5" t="s">
        <v>104</v>
      </c>
      <c r="H10" s="5" t="s">
        <v>105</v>
      </c>
      <c r="I10" s="6" t="b">
        <f aca="false">TRUE()</f>
        <v>1</v>
      </c>
      <c r="J10" s="5"/>
      <c r="K10" s="5" t="s">
        <v>41</v>
      </c>
      <c r="L10" s="5" t="s">
        <v>42</v>
      </c>
      <c r="M10" s="5" t="s">
        <v>106</v>
      </c>
      <c r="N10" s="5" t="n">
        <v>5</v>
      </c>
      <c r="O10" s="6" t="b">
        <f aca="false">TRUE()</f>
        <v>1</v>
      </c>
      <c r="P10" s="5" t="s">
        <v>107</v>
      </c>
      <c r="Q10" s="5" t="s">
        <v>108</v>
      </c>
      <c r="R10" s="5" t="s">
        <v>109</v>
      </c>
      <c r="S10" s="5" t="s">
        <v>110</v>
      </c>
    </row>
    <row r="11" customFormat="false" ht="46.25" hidden="false" customHeight="false" outlineLevel="0" collapsed="false">
      <c r="A11" s="5" t="n">
        <v>10</v>
      </c>
      <c r="B11" s="6" t="b">
        <f aca="false">TRUE()</f>
        <v>1</v>
      </c>
      <c r="C11" s="7"/>
      <c r="D11" s="7"/>
      <c r="E11" s="7"/>
      <c r="F11" s="5" t="s">
        <v>111</v>
      </c>
      <c r="G11" s="5" t="s">
        <v>112</v>
      </c>
      <c r="H11" s="5" t="s">
        <v>113</v>
      </c>
      <c r="I11" s="6" t="b">
        <f aca="false">TRUE()</f>
        <v>1</v>
      </c>
      <c r="J11" s="5"/>
      <c r="K11" s="5" t="s">
        <v>51</v>
      </c>
      <c r="L11" s="5" t="s">
        <v>42</v>
      </c>
      <c r="M11" s="5" t="s">
        <v>90</v>
      </c>
      <c r="N11" s="5" t="n">
        <v>5</v>
      </c>
      <c r="O11" s="6" t="b">
        <f aca="false">TRUE()</f>
        <v>1</v>
      </c>
      <c r="P11" s="5" t="s">
        <v>114</v>
      </c>
      <c r="Q11" s="5" t="s">
        <v>115</v>
      </c>
      <c r="R11" s="5" t="s">
        <v>116</v>
      </c>
      <c r="S11" s="5" t="s">
        <v>117</v>
      </c>
    </row>
    <row r="12" customFormat="false" ht="68.65" hidden="false" customHeight="false" outlineLevel="0" collapsed="false">
      <c r="A12" s="5" t="n">
        <v>11</v>
      </c>
      <c r="B12" s="6" t="b">
        <f aca="false">TRUE()</f>
        <v>1</v>
      </c>
      <c r="C12" s="7"/>
      <c r="D12" s="7"/>
      <c r="E12" s="7"/>
      <c r="F12" s="5" t="s">
        <v>118</v>
      </c>
      <c r="G12" s="5" t="s">
        <v>119</v>
      </c>
      <c r="H12" s="5" t="s">
        <v>120</v>
      </c>
      <c r="I12" s="6" t="b">
        <f aca="false">TRUE()</f>
        <v>1</v>
      </c>
      <c r="J12" s="5"/>
      <c r="K12" s="5" t="s">
        <v>41</v>
      </c>
      <c r="L12" s="5" t="s">
        <v>52</v>
      </c>
      <c r="M12" s="5" t="s">
        <v>106</v>
      </c>
      <c r="N12" s="5" t="n">
        <v>4</v>
      </c>
      <c r="O12" s="6" t="b">
        <f aca="false">TRUE()</f>
        <v>1</v>
      </c>
      <c r="P12" s="5" t="s">
        <v>121</v>
      </c>
      <c r="Q12" s="5" t="s">
        <v>122</v>
      </c>
      <c r="R12" s="5" t="s">
        <v>123</v>
      </c>
      <c r="S12" s="5" t="s">
        <v>124</v>
      </c>
    </row>
    <row r="13" customFormat="false" ht="68.65" hidden="false" customHeight="false" outlineLevel="0" collapsed="false">
      <c r="A13" s="5" t="n">
        <v>12</v>
      </c>
      <c r="B13" s="6" t="b">
        <f aca="false">TRUE()</f>
        <v>1</v>
      </c>
      <c r="C13" s="7"/>
      <c r="D13" s="7"/>
      <c r="E13" s="7"/>
      <c r="F13" s="5" t="s">
        <v>125</v>
      </c>
      <c r="G13" s="5" t="s">
        <v>126</v>
      </c>
      <c r="H13" s="5" t="s">
        <v>127</v>
      </c>
      <c r="I13" s="6" t="b">
        <f aca="false">TRUE()</f>
        <v>1</v>
      </c>
      <c r="J13" s="5"/>
      <c r="K13" s="5" t="s">
        <v>68</v>
      </c>
      <c r="L13" s="5" t="s">
        <v>42</v>
      </c>
      <c r="M13" s="5" t="s">
        <v>106</v>
      </c>
      <c r="N13" s="5" t="n">
        <v>5</v>
      </c>
      <c r="O13" s="6" t="b">
        <f aca="false">TRUE()</f>
        <v>1</v>
      </c>
      <c r="P13" s="5" t="s">
        <v>128</v>
      </c>
      <c r="Q13" s="5" t="s">
        <v>129</v>
      </c>
      <c r="R13" s="5" t="s">
        <v>130</v>
      </c>
      <c r="S13" s="5" t="s">
        <v>131</v>
      </c>
    </row>
    <row r="14" customFormat="false" ht="68.65" hidden="false" customHeight="false" outlineLevel="0" collapsed="false">
      <c r="A14" s="5" t="n">
        <v>13</v>
      </c>
      <c r="B14" s="6" t="b">
        <f aca="false">TRUE()</f>
        <v>1</v>
      </c>
      <c r="C14" s="7"/>
      <c r="D14" s="7"/>
      <c r="E14" s="7"/>
      <c r="F14" s="5" t="s">
        <v>132</v>
      </c>
      <c r="G14" s="5" t="s">
        <v>133</v>
      </c>
      <c r="H14" s="5" t="s">
        <v>134</v>
      </c>
      <c r="I14" s="6" t="b">
        <f aca="false">TRUE()</f>
        <v>1</v>
      </c>
      <c r="J14" s="5"/>
      <c r="K14" s="5" t="s">
        <v>68</v>
      </c>
      <c r="L14" s="5" t="s">
        <v>42</v>
      </c>
      <c r="M14" s="5" t="s">
        <v>43</v>
      </c>
      <c r="N14" s="5" t="n">
        <v>5</v>
      </c>
      <c r="O14" s="6" t="b">
        <f aca="false">TRUE()</f>
        <v>1</v>
      </c>
      <c r="P14" s="5" t="s">
        <v>135</v>
      </c>
      <c r="Q14" s="5" t="s">
        <v>136</v>
      </c>
      <c r="R14" s="5" t="s">
        <v>137</v>
      </c>
      <c r="S14" s="5" t="s">
        <v>138</v>
      </c>
    </row>
    <row r="15" customFormat="false" ht="79.85" hidden="false" customHeight="false" outlineLevel="0" collapsed="false">
      <c r="A15" s="5" t="n">
        <v>14</v>
      </c>
      <c r="B15" s="6" t="b">
        <f aca="false">TRUE()</f>
        <v>1</v>
      </c>
      <c r="C15" s="7"/>
      <c r="D15" s="7"/>
      <c r="E15" s="7"/>
      <c r="F15" s="5" t="s">
        <v>139</v>
      </c>
      <c r="G15" s="5" t="s">
        <v>140</v>
      </c>
      <c r="H15" s="5" t="s">
        <v>141</v>
      </c>
      <c r="I15" s="6" t="b">
        <f aca="false">TRUE()</f>
        <v>1</v>
      </c>
      <c r="J15" s="5"/>
      <c r="K15" s="5" t="s">
        <v>51</v>
      </c>
      <c r="L15" s="5" t="s">
        <v>52</v>
      </c>
      <c r="M15" s="5" t="s">
        <v>90</v>
      </c>
      <c r="N15" s="5" t="n">
        <v>5</v>
      </c>
      <c r="O15" s="6" t="b">
        <f aca="false">TRUE()</f>
        <v>1</v>
      </c>
      <c r="P15" s="5" t="s">
        <v>142</v>
      </c>
      <c r="Q15" s="5" t="s">
        <v>143</v>
      </c>
      <c r="R15" s="5" t="s">
        <v>144</v>
      </c>
      <c r="S15" s="5" t="s">
        <v>145</v>
      </c>
    </row>
    <row r="16" customFormat="false" ht="68.65" hidden="false" customHeight="false" outlineLevel="0" collapsed="false">
      <c r="A16" s="5" t="n">
        <v>15</v>
      </c>
      <c r="B16" s="6" t="b">
        <f aca="false">TRUE()</f>
        <v>1</v>
      </c>
      <c r="C16" s="7"/>
      <c r="D16" s="7"/>
      <c r="E16" s="7"/>
      <c r="F16" s="5" t="s">
        <v>146</v>
      </c>
      <c r="G16" s="5" t="s">
        <v>147</v>
      </c>
      <c r="H16" s="5" t="s">
        <v>148</v>
      </c>
      <c r="I16" s="6" t="b">
        <f aca="false">TRUE()</f>
        <v>1</v>
      </c>
      <c r="J16" s="5"/>
      <c r="K16" s="5" t="s">
        <v>68</v>
      </c>
      <c r="L16" s="5" t="s">
        <v>52</v>
      </c>
      <c r="M16" s="5" t="s">
        <v>149</v>
      </c>
      <c r="N16" s="5" t="n">
        <v>4</v>
      </c>
      <c r="O16" s="6" t="b">
        <f aca="false">TRUE()</f>
        <v>1</v>
      </c>
      <c r="P16" s="5" t="s">
        <v>150</v>
      </c>
      <c r="Q16" s="5" t="s">
        <v>151</v>
      </c>
      <c r="R16" s="5" t="s">
        <v>152</v>
      </c>
      <c r="S16" s="5" t="s">
        <v>153</v>
      </c>
    </row>
    <row r="17" customFormat="false" ht="68.65" hidden="false" customHeight="false" outlineLevel="0" collapsed="false">
      <c r="A17" s="5" t="n">
        <v>16</v>
      </c>
      <c r="B17" s="6" t="b">
        <f aca="false">TRUE()</f>
        <v>1</v>
      </c>
      <c r="C17" s="7"/>
      <c r="D17" s="7"/>
      <c r="E17" s="7"/>
      <c r="F17" s="5" t="s">
        <v>154</v>
      </c>
      <c r="G17" s="5" t="s">
        <v>155</v>
      </c>
      <c r="H17" s="5" t="s">
        <v>156</v>
      </c>
      <c r="I17" s="6" t="b">
        <f aca="false">TRUE()</f>
        <v>1</v>
      </c>
      <c r="J17" s="5"/>
      <c r="K17" s="5" t="s">
        <v>68</v>
      </c>
      <c r="L17" s="5" t="s">
        <v>42</v>
      </c>
      <c r="M17" s="5" t="s">
        <v>157</v>
      </c>
      <c r="N17" s="5" t="n">
        <v>5</v>
      </c>
      <c r="O17" s="6" t="b">
        <f aca="false">TRUE()</f>
        <v>1</v>
      </c>
      <c r="P17" s="5" t="s">
        <v>158</v>
      </c>
      <c r="Q17" s="5" t="s">
        <v>159</v>
      </c>
      <c r="R17" s="5" t="s">
        <v>160</v>
      </c>
      <c r="S17" s="5" t="s">
        <v>161</v>
      </c>
    </row>
    <row r="18" customFormat="false" ht="68.65" hidden="false" customHeight="false" outlineLevel="0" collapsed="false">
      <c r="A18" s="5" t="n">
        <v>17</v>
      </c>
      <c r="B18" s="6" t="b">
        <f aca="false">TRUE()</f>
        <v>1</v>
      </c>
      <c r="C18" s="7"/>
      <c r="D18" s="7"/>
      <c r="E18" s="7"/>
      <c r="F18" s="5" t="s">
        <v>162</v>
      </c>
      <c r="G18" s="5" t="s">
        <v>163</v>
      </c>
      <c r="H18" s="5" t="s">
        <v>164</v>
      </c>
      <c r="I18" s="6" t="b">
        <f aca="false">TRUE()</f>
        <v>1</v>
      </c>
      <c r="J18" s="5"/>
      <c r="K18" s="5" t="s">
        <v>68</v>
      </c>
      <c r="L18" s="5" t="s">
        <v>42</v>
      </c>
      <c r="M18" s="5" t="s">
        <v>53</v>
      </c>
      <c r="N18" s="5" t="n">
        <v>5</v>
      </c>
      <c r="O18" s="6" t="b">
        <f aca="false">TRUE()</f>
        <v>1</v>
      </c>
      <c r="P18" s="5" t="s">
        <v>165</v>
      </c>
      <c r="Q18" s="5" t="s">
        <v>166</v>
      </c>
      <c r="R18" s="5" t="s">
        <v>167</v>
      </c>
      <c r="S18" s="5" t="s">
        <v>168</v>
      </c>
    </row>
    <row r="19" customFormat="false" ht="68.65" hidden="false" customHeight="false" outlineLevel="0" collapsed="false">
      <c r="A19" s="5" t="n">
        <v>18</v>
      </c>
      <c r="B19" s="6" t="b">
        <f aca="false">TRUE()</f>
        <v>1</v>
      </c>
      <c r="C19" s="7"/>
      <c r="D19" s="7"/>
      <c r="E19" s="7"/>
      <c r="F19" s="5" t="s">
        <v>169</v>
      </c>
      <c r="G19" s="5" t="s">
        <v>170</v>
      </c>
      <c r="H19" s="5" t="s">
        <v>171</v>
      </c>
      <c r="I19" s="6" t="b">
        <f aca="false">TRUE()</f>
        <v>1</v>
      </c>
      <c r="J19" s="5"/>
      <c r="K19" s="5" t="s">
        <v>41</v>
      </c>
      <c r="L19" s="5" t="s">
        <v>42</v>
      </c>
      <c r="M19" s="5" t="s">
        <v>106</v>
      </c>
      <c r="N19" s="5" t="n">
        <v>5</v>
      </c>
      <c r="O19" s="6" t="b">
        <f aca="false">TRUE()</f>
        <v>1</v>
      </c>
      <c r="P19" s="5" t="s">
        <v>172</v>
      </c>
      <c r="Q19" s="5" t="s">
        <v>173</v>
      </c>
      <c r="R19" s="5" t="s">
        <v>174</v>
      </c>
      <c r="S19" s="5" t="s">
        <v>175</v>
      </c>
    </row>
    <row r="20" customFormat="false" ht="57.45" hidden="false" customHeight="false" outlineLevel="0" collapsed="false">
      <c r="A20" s="5" t="n">
        <v>19</v>
      </c>
      <c r="B20" s="6" t="b">
        <f aca="false">TRUE()</f>
        <v>1</v>
      </c>
      <c r="C20" s="7"/>
      <c r="D20" s="7"/>
      <c r="E20" s="7"/>
      <c r="F20" s="5" t="s">
        <v>176</v>
      </c>
      <c r="G20" s="5" t="s">
        <v>177</v>
      </c>
      <c r="H20" s="5" t="s">
        <v>178</v>
      </c>
      <c r="I20" s="6" t="b">
        <f aca="false">TRUE()</f>
        <v>1</v>
      </c>
      <c r="J20" s="5"/>
      <c r="K20" s="5" t="s">
        <v>68</v>
      </c>
      <c r="L20" s="5" t="s">
        <v>42</v>
      </c>
      <c r="M20" s="5" t="s">
        <v>98</v>
      </c>
      <c r="N20" s="5" t="n">
        <v>5</v>
      </c>
      <c r="O20" s="6" t="b">
        <f aca="false">TRUE()</f>
        <v>1</v>
      </c>
      <c r="P20" s="5" t="s">
        <v>179</v>
      </c>
      <c r="Q20" s="5" t="s">
        <v>180</v>
      </c>
      <c r="R20" s="5" t="s">
        <v>181</v>
      </c>
      <c r="S20" s="5" t="s">
        <v>182</v>
      </c>
    </row>
    <row r="21" customFormat="false" ht="191.75" hidden="false" customHeight="false" outlineLevel="0" collapsed="false">
      <c r="A21" s="5" t="n">
        <v>20</v>
      </c>
      <c r="B21" s="6" t="b">
        <f aca="false">TRUE()</f>
        <v>1</v>
      </c>
      <c r="C21" s="7"/>
      <c r="D21" s="7"/>
      <c r="E21" s="7"/>
      <c r="F21" s="5" t="s">
        <v>183</v>
      </c>
      <c r="G21" s="5" t="s">
        <v>184</v>
      </c>
      <c r="H21" s="5" t="s">
        <v>185</v>
      </c>
      <c r="I21" s="6" t="b">
        <f aca="false">TRUE()</f>
        <v>1</v>
      </c>
      <c r="J21" s="5"/>
      <c r="K21" s="5" t="s">
        <v>186</v>
      </c>
      <c r="L21" s="5" t="s">
        <v>187</v>
      </c>
      <c r="M21" s="5" t="s">
        <v>43</v>
      </c>
      <c r="N21" s="5" t="n">
        <v>5</v>
      </c>
      <c r="O21" s="6" t="b">
        <f aca="false">TRUE()</f>
        <v>1</v>
      </c>
      <c r="P21" s="5" t="s">
        <v>188</v>
      </c>
      <c r="Q21" s="5" t="s">
        <v>189</v>
      </c>
      <c r="R21" s="5" t="s">
        <v>190</v>
      </c>
      <c r="S21" s="5" t="s">
        <v>191</v>
      </c>
    </row>
    <row r="22" customFormat="false" ht="79.85" hidden="false" customHeight="false" outlineLevel="0" collapsed="false">
      <c r="A22" s="5" t="n">
        <v>21</v>
      </c>
      <c r="B22" s="6" t="b">
        <f aca="false">TRUE()</f>
        <v>1</v>
      </c>
      <c r="C22" s="7"/>
      <c r="D22" s="7"/>
      <c r="E22" s="7"/>
      <c r="F22" s="5" t="s">
        <v>192</v>
      </c>
      <c r="G22" s="5" t="s">
        <v>193</v>
      </c>
      <c r="H22" s="5" t="s">
        <v>194</v>
      </c>
      <c r="I22" s="6" t="b">
        <f aca="false">TRUE()</f>
        <v>1</v>
      </c>
      <c r="J22" s="5"/>
      <c r="K22" s="5" t="s">
        <v>41</v>
      </c>
      <c r="L22" s="5" t="s">
        <v>42</v>
      </c>
      <c r="M22" s="5" t="s">
        <v>106</v>
      </c>
      <c r="N22" s="5" t="n">
        <v>5</v>
      </c>
      <c r="O22" s="6" t="b">
        <f aca="false">TRUE()</f>
        <v>1</v>
      </c>
      <c r="P22" s="5" t="s">
        <v>195</v>
      </c>
      <c r="Q22" s="5" t="s">
        <v>196</v>
      </c>
      <c r="R22" s="5" t="s">
        <v>197</v>
      </c>
      <c r="S22" s="5" t="s">
        <v>198</v>
      </c>
    </row>
    <row r="23" customFormat="false" ht="79.85" hidden="false" customHeight="false" outlineLevel="0" collapsed="false">
      <c r="A23" s="5" t="n">
        <v>22</v>
      </c>
      <c r="B23" s="6" t="b">
        <f aca="false">TRUE()</f>
        <v>1</v>
      </c>
      <c r="C23" s="7"/>
      <c r="D23" s="7"/>
      <c r="E23" s="7"/>
      <c r="F23" s="5" t="s">
        <v>199</v>
      </c>
      <c r="G23" s="5" t="s">
        <v>200</v>
      </c>
      <c r="H23" s="5" t="s">
        <v>194</v>
      </c>
      <c r="I23" s="6" t="b">
        <f aca="false">TRUE()</f>
        <v>1</v>
      </c>
      <c r="J23" s="5"/>
      <c r="K23" s="5" t="s">
        <v>51</v>
      </c>
      <c r="L23" s="5" t="s">
        <v>52</v>
      </c>
      <c r="M23" s="5" t="s">
        <v>43</v>
      </c>
      <c r="N23" s="5" t="n">
        <v>5</v>
      </c>
      <c r="O23" s="6" t="b">
        <f aca="false">TRUE()</f>
        <v>1</v>
      </c>
      <c r="P23" s="5" t="s">
        <v>201</v>
      </c>
      <c r="Q23" s="5" t="s">
        <v>202</v>
      </c>
      <c r="R23" s="5" t="s">
        <v>203</v>
      </c>
      <c r="S23" s="5" t="s">
        <v>204</v>
      </c>
    </row>
    <row r="24" customFormat="false" ht="57.45" hidden="false" customHeight="false" outlineLevel="0" collapsed="false">
      <c r="A24" s="5" t="n">
        <v>23</v>
      </c>
      <c r="B24" s="6" t="b">
        <f aca="false">TRUE()</f>
        <v>1</v>
      </c>
      <c r="C24" s="7"/>
      <c r="D24" s="7"/>
      <c r="E24" s="7"/>
      <c r="F24" s="5" t="s">
        <v>205</v>
      </c>
      <c r="G24" s="5" t="s">
        <v>206</v>
      </c>
      <c r="H24" s="5" t="s">
        <v>207</v>
      </c>
      <c r="I24" s="6" t="b">
        <f aca="false">TRUE()</f>
        <v>1</v>
      </c>
      <c r="J24" s="5"/>
      <c r="K24" s="5" t="s">
        <v>51</v>
      </c>
      <c r="L24" s="5" t="s">
        <v>52</v>
      </c>
      <c r="M24" s="5" t="s">
        <v>149</v>
      </c>
      <c r="N24" s="5" t="n">
        <v>5</v>
      </c>
      <c r="O24" s="6" t="b">
        <f aca="false">TRUE()</f>
        <v>1</v>
      </c>
      <c r="P24" s="5" t="s">
        <v>208</v>
      </c>
      <c r="Q24" s="5" t="s">
        <v>209</v>
      </c>
      <c r="R24" s="5" t="s">
        <v>210</v>
      </c>
      <c r="S24" s="5" t="s">
        <v>211</v>
      </c>
    </row>
    <row r="25" customFormat="false" ht="113.4" hidden="false" customHeight="false" outlineLevel="0" collapsed="false">
      <c r="A25" s="5" t="n">
        <v>24</v>
      </c>
      <c r="B25" s="6" t="b">
        <f aca="false">TRUE()</f>
        <v>1</v>
      </c>
      <c r="C25" s="7"/>
      <c r="D25" s="7"/>
      <c r="E25" s="7"/>
      <c r="F25" s="5" t="s">
        <v>212</v>
      </c>
      <c r="G25" s="5" t="s">
        <v>213</v>
      </c>
      <c r="H25" s="5" t="s">
        <v>214</v>
      </c>
      <c r="I25" s="6" t="b">
        <f aca="false">TRUE()</f>
        <v>1</v>
      </c>
      <c r="J25" s="5"/>
      <c r="K25" s="5" t="s">
        <v>41</v>
      </c>
      <c r="L25" s="5" t="s">
        <v>42</v>
      </c>
      <c r="M25" s="5" t="s">
        <v>98</v>
      </c>
      <c r="N25" s="5" t="n">
        <v>5</v>
      </c>
      <c r="O25" s="6" t="b">
        <f aca="false">TRUE()</f>
        <v>1</v>
      </c>
      <c r="P25" s="5" t="s">
        <v>215</v>
      </c>
      <c r="Q25" s="5" t="s">
        <v>216</v>
      </c>
      <c r="R25" s="5" t="s">
        <v>217</v>
      </c>
      <c r="S25" s="5" t="s">
        <v>218</v>
      </c>
    </row>
    <row r="26" customFormat="false" ht="113.4" hidden="false" customHeight="false" outlineLevel="0" collapsed="false">
      <c r="A26" s="5" t="n">
        <v>25</v>
      </c>
      <c r="B26" s="6" t="b">
        <f aca="false">TRUE()</f>
        <v>1</v>
      </c>
      <c r="C26" s="7"/>
      <c r="D26" s="7"/>
      <c r="E26" s="7"/>
      <c r="F26" s="5" t="s">
        <v>219</v>
      </c>
      <c r="G26" s="5" t="s">
        <v>220</v>
      </c>
      <c r="H26" s="5" t="s">
        <v>214</v>
      </c>
      <c r="I26" s="6" t="b">
        <f aca="false">TRUE()</f>
        <v>1</v>
      </c>
      <c r="J26" s="5"/>
      <c r="K26" s="5" t="s">
        <v>41</v>
      </c>
      <c r="L26" s="5" t="s">
        <v>52</v>
      </c>
      <c r="M26" s="5" t="s">
        <v>98</v>
      </c>
      <c r="N26" s="5" t="n">
        <v>5</v>
      </c>
      <c r="O26" s="6" t="b">
        <f aca="false">TRUE()</f>
        <v>1</v>
      </c>
      <c r="P26" s="5" t="s">
        <v>221</v>
      </c>
      <c r="Q26" s="5" t="s">
        <v>222</v>
      </c>
      <c r="R26" s="5" t="s">
        <v>223</v>
      </c>
      <c r="S26" s="5" t="s">
        <v>224</v>
      </c>
    </row>
    <row r="27" customFormat="false" ht="57.45" hidden="false" customHeight="false" outlineLevel="0" collapsed="false">
      <c r="A27" s="5" t="n">
        <v>26</v>
      </c>
      <c r="B27" s="6" t="b">
        <f aca="false">TRUE()</f>
        <v>1</v>
      </c>
      <c r="C27" s="7"/>
      <c r="D27" s="7"/>
      <c r="E27" s="7"/>
      <c r="F27" s="5" t="s">
        <v>225</v>
      </c>
      <c r="G27" s="5" t="s">
        <v>226</v>
      </c>
      <c r="H27" s="5" t="s">
        <v>227</v>
      </c>
      <c r="I27" s="6" t="b">
        <f aca="false">FALSE()</f>
        <v>0</v>
      </c>
      <c r="J27" s="5" t="s">
        <v>228</v>
      </c>
      <c r="K27" s="5" t="s">
        <v>41</v>
      </c>
      <c r="L27" s="5" t="s">
        <v>42</v>
      </c>
      <c r="M27" s="5" t="s">
        <v>43</v>
      </c>
      <c r="N27" s="5" t="n">
        <v>3</v>
      </c>
      <c r="O27" s="6" t="b">
        <f aca="false">TRUE()</f>
        <v>1</v>
      </c>
      <c r="P27" s="5" t="s">
        <v>229</v>
      </c>
      <c r="Q27" s="5" t="s">
        <v>230</v>
      </c>
      <c r="R27" s="5" t="s">
        <v>231</v>
      </c>
      <c r="S27" s="5" t="s">
        <v>232</v>
      </c>
    </row>
    <row r="28" customFormat="false" ht="68.65" hidden="false" customHeight="false" outlineLevel="0" collapsed="false">
      <c r="A28" s="5" t="n">
        <v>27</v>
      </c>
      <c r="B28" s="6" t="b">
        <f aca="false">TRUE()</f>
        <v>1</v>
      </c>
      <c r="C28" s="7"/>
      <c r="D28" s="7"/>
      <c r="E28" s="7"/>
      <c r="F28" s="5" t="s">
        <v>233</v>
      </c>
      <c r="G28" s="5" t="s">
        <v>234</v>
      </c>
      <c r="H28" s="5" t="s">
        <v>235</v>
      </c>
      <c r="I28" s="6" t="b">
        <f aca="false">FALSE()</f>
        <v>0</v>
      </c>
      <c r="J28" s="5" t="s">
        <v>228</v>
      </c>
      <c r="K28" s="5" t="s">
        <v>41</v>
      </c>
      <c r="L28" s="5" t="s">
        <v>42</v>
      </c>
      <c r="M28" s="5" t="s">
        <v>53</v>
      </c>
      <c r="N28" s="5" t="n">
        <v>3</v>
      </c>
      <c r="O28" s="6" t="b">
        <f aca="false">TRUE()</f>
        <v>1</v>
      </c>
      <c r="P28" s="5" t="s">
        <v>236</v>
      </c>
      <c r="Q28" s="5" t="s">
        <v>237</v>
      </c>
      <c r="R28" s="5" t="s">
        <v>238</v>
      </c>
      <c r="S28" s="5" t="s">
        <v>239</v>
      </c>
    </row>
    <row r="29" customFormat="false" ht="79.85" hidden="false" customHeight="false" outlineLevel="0" collapsed="false">
      <c r="A29" s="5" t="n">
        <v>28</v>
      </c>
      <c r="B29" s="6" t="b">
        <f aca="false">TRUE()</f>
        <v>1</v>
      </c>
      <c r="C29" s="7"/>
      <c r="D29" s="7"/>
      <c r="E29" s="7"/>
      <c r="F29" s="5" t="s">
        <v>240</v>
      </c>
      <c r="G29" s="5" t="s">
        <v>241</v>
      </c>
      <c r="H29" s="5" t="s">
        <v>242</v>
      </c>
      <c r="I29" s="6" t="b">
        <f aca="false">FALSE()</f>
        <v>0</v>
      </c>
      <c r="J29" s="5" t="s">
        <v>228</v>
      </c>
      <c r="K29" s="5" t="s">
        <v>68</v>
      </c>
      <c r="L29" s="5" t="s">
        <v>42</v>
      </c>
      <c r="M29" s="5" t="s">
        <v>243</v>
      </c>
      <c r="N29" s="5" t="n">
        <v>3</v>
      </c>
      <c r="O29" s="6" t="b">
        <f aca="false">TRUE()</f>
        <v>1</v>
      </c>
      <c r="P29" s="5" t="s">
        <v>244</v>
      </c>
      <c r="Q29" s="5" t="s">
        <v>245</v>
      </c>
      <c r="R29" s="5" t="s">
        <v>246</v>
      </c>
      <c r="S29" s="5" t="s">
        <v>247</v>
      </c>
    </row>
    <row r="30" customFormat="false" ht="57.45" hidden="false" customHeight="false" outlineLevel="0" collapsed="false">
      <c r="A30" s="5" t="n">
        <v>29</v>
      </c>
      <c r="B30" s="6" t="b">
        <f aca="false">TRUE()</f>
        <v>1</v>
      </c>
      <c r="C30" s="7"/>
      <c r="D30" s="7"/>
      <c r="E30" s="7"/>
      <c r="F30" s="5" t="s">
        <v>248</v>
      </c>
      <c r="G30" s="5" t="s">
        <v>249</v>
      </c>
      <c r="H30" s="5" t="s">
        <v>250</v>
      </c>
      <c r="I30" s="6" t="b">
        <f aca="false">FALSE()</f>
        <v>0</v>
      </c>
      <c r="J30" s="5" t="s">
        <v>251</v>
      </c>
      <c r="K30" s="5" t="s">
        <v>41</v>
      </c>
      <c r="L30" s="5" t="s">
        <v>42</v>
      </c>
      <c r="M30" s="5" t="s">
        <v>106</v>
      </c>
      <c r="N30" s="5" t="n">
        <v>5</v>
      </c>
      <c r="O30" s="6" t="b">
        <f aca="false">FALSE()</f>
        <v>0</v>
      </c>
      <c r="P30" s="5" t="s">
        <v>252</v>
      </c>
      <c r="Q30" s="5" t="s">
        <v>253</v>
      </c>
      <c r="R30" s="5" t="s">
        <v>254</v>
      </c>
      <c r="S30" s="5" t="s">
        <v>255</v>
      </c>
    </row>
    <row r="31" customFormat="false" ht="79.85" hidden="false" customHeight="false" outlineLevel="0" collapsed="false">
      <c r="A31" s="5" t="n">
        <v>30</v>
      </c>
      <c r="B31" s="6" t="b">
        <f aca="false">TRUE()</f>
        <v>1</v>
      </c>
      <c r="C31" s="7"/>
      <c r="D31" s="7"/>
      <c r="E31" s="7"/>
      <c r="F31" s="5" t="s">
        <v>256</v>
      </c>
      <c r="G31" s="5" t="s">
        <v>257</v>
      </c>
      <c r="H31" s="5" t="s">
        <v>258</v>
      </c>
      <c r="I31" s="6" t="b">
        <f aca="false">FALSE()</f>
        <v>0</v>
      </c>
      <c r="J31" s="5" t="s">
        <v>228</v>
      </c>
      <c r="K31" s="5" t="s">
        <v>51</v>
      </c>
      <c r="L31" s="5" t="s">
        <v>52</v>
      </c>
      <c r="M31" s="5" t="s">
        <v>90</v>
      </c>
      <c r="N31" s="5" t="n">
        <v>3</v>
      </c>
      <c r="O31" s="6" t="b">
        <f aca="false">TRUE()</f>
        <v>1</v>
      </c>
      <c r="P31" s="5" t="s">
        <v>259</v>
      </c>
      <c r="Q31" s="5" t="s">
        <v>260</v>
      </c>
      <c r="R31" s="5" t="s">
        <v>261</v>
      </c>
      <c r="S31" s="5" t="s">
        <v>262</v>
      </c>
    </row>
    <row r="32" customFormat="false" ht="57.45" hidden="false" customHeight="false" outlineLevel="0" collapsed="false">
      <c r="A32" s="5" t="n">
        <v>31</v>
      </c>
      <c r="B32" s="6" t="b">
        <f aca="false">TRUE()</f>
        <v>1</v>
      </c>
      <c r="C32" s="7"/>
      <c r="D32" s="7"/>
      <c r="E32" s="7"/>
      <c r="F32" s="5" t="s">
        <v>263</v>
      </c>
      <c r="G32" s="5" t="s">
        <v>264</v>
      </c>
      <c r="H32" s="5" t="s">
        <v>265</v>
      </c>
      <c r="I32" s="6" t="b">
        <f aca="false">FALSE()</f>
        <v>0</v>
      </c>
      <c r="J32" s="5" t="s">
        <v>228</v>
      </c>
      <c r="K32" s="5" t="s">
        <v>51</v>
      </c>
      <c r="L32" s="5" t="s">
        <v>52</v>
      </c>
      <c r="M32" s="5" t="s">
        <v>90</v>
      </c>
      <c r="N32" s="5" t="n">
        <v>3</v>
      </c>
      <c r="O32" s="6" t="b">
        <f aca="false">TRUE()</f>
        <v>1</v>
      </c>
      <c r="P32" s="5" t="s">
        <v>266</v>
      </c>
      <c r="Q32" s="5" t="s">
        <v>267</v>
      </c>
      <c r="R32" s="5" t="s">
        <v>268</v>
      </c>
      <c r="S32" s="5" t="s">
        <v>269</v>
      </c>
    </row>
    <row r="33" customFormat="false" ht="57.45" hidden="false" customHeight="false" outlineLevel="0" collapsed="false">
      <c r="A33" s="5" t="n">
        <v>32</v>
      </c>
      <c r="B33" s="6" t="b">
        <f aca="false">TRUE()</f>
        <v>1</v>
      </c>
      <c r="C33" s="7"/>
      <c r="D33" s="7"/>
      <c r="E33" s="7"/>
      <c r="F33" s="5" t="s">
        <v>270</v>
      </c>
      <c r="G33" s="5" t="s">
        <v>271</v>
      </c>
      <c r="H33" s="5" t="s">
        <v>272</v>
      </c>
      <c r="I33" s="6" t="b">
        <f aca="false">FALSE()</f>
        <v>0</v>
      </c>
      <c r="J33" s="5" t="s">
        <v>273</v>
      </c>
      <c r="K33" s="5" t="s">
        <v>68</v>
      </c>
      <c r="L33" s="5" t="s">
        <v>42</v>
      </c>
      <c r="M33" s="5" t="s">
        <v>90</v>
      </c>
      <c r="N33" s="5" t="n">
        <v>4</v>
      </c>
      <c r="O33" s="6" t="b">
        <f aca="false">TRUE()</f>
        <v>1</v>
      </c>
      <c r="P33" s="5" t="s">
        <v>274</v>
      </c>
      <c r="Q33" s="5" t="s">
        <v>275</v>
      </c>
      <c r="R33" s="5" t="s">
        <v>276</v>
      </c>
      <c r="S33" s="5" t="s">
        <v>277</v>
      </c>
    </row>
    <row r="34" customFormat="false" ht="57.45" hidden="false" customHeight="false" outlineLevel="0" collapsed="false">
      <c r="A34" s="5" t="n">
        <v>33</v>
      </c>
      <c r="B34" s="6" t="b">
        <f aca="false">TRUE()</f>
        <v>1</v>
      </c>
      <c r="C34" s="7"/>
      <c r="D34" s="7"/>
      <c r="E34" s="7"/>
      <c r="F34" s="5" t="s">
        <v>278</v>
      </c>
      <c r="G34" s="5" t="s">
        <v>279</v>
      </c>
      <c r="H34" s="5" t="s">
        <v>280</v>
      </c>
      <c r="I34" s="6" t="b">
        <f aca="false">FALSE()</f>
        <v>0</v>
      </c>
      <c r="J34" s="5" t="s">
        <v>251</v>
      </c>
      <c r="K34" s="5" t="s">
        <v>41</v>
      </c>
      <c r="L34" s="5" t="s">
        <v>42</v>
      </c>
      <c r="M34" s="5" t="s">
        <v>106</v>
      </c>
      <c r="N34" s="5" t="n">
        <v>5</v>
      </c>
      <c r="O34" s="6" t="b">
        <f aca="false">FALSE()</f>
        <v>0</v>
      </c>
      <c r="P34" s="5" t="s">
        <v>281</v>
      </c>
      <c r="Q34" s="5" t="s">
        <v>282</v>
      </c>
      <c r="R34" s="5" t="s">
        <v>283</v>
      </c>
      <c r="S34" s="5" t="s">
        <v>284</v>
      </c>
    </row>
    <row r="35" customFormat="false" ht="57.45" hidden="false" customHeight="false" outlineLevel="0" collapsed="false">
      <c r="A35" s="5" t="n">
        <v>34</v>
      </c>
      <c r="B35" s="6" t="b">
        <f aca="false">TRUE()</f>
        <v>1</v>
      </c>
      <c r="C35" s="7"/>
      <c r="D35" s="7"/>
      <c r="E35" s="7"/>
      <c r="F35" s="5" t="s">
        <v>285</v>
      </c>
      <c r="G35" s="5" t="s">
        <v>286</v>
      </c>
      <c r="H35" s="5" t="s">
        <v>287</v>
      </c>
      <c r="I35" s="6" t="b">
        <f aca="false">FALSE()</f>
        <v>0</v>
      </c>
      <c r="J35" s="5" t="s">
        <v>273</v>
      </c>
      <c r="K35" s="5" t="s">
        <v>41</v>
      </c>
      <c r="L35" s="5" t="s">
        <v>42</v>
      </c>
      <c r="M35" s="5" t="s">
        <v>98</v>
      </c>
      <c r="N35" s="5" t="n">
        <v>5</v>
      </c>
      <c r="O35" s="6" t="b">
        <f aca="false">TRUE()</f>
        <v>1</v>
      </c>
      <c r="P35" s="5" t="s">
        <v>288</v>
      </c>
      <c r="Q35" s="5" t="s">
        <v>289</v>
      </c>
      <c r="R35" s="5" t="s">
        <v>290</v>
      </c>
      <c r="S35" s="5" t="s">
        <v>291</v>
      </c>
    </row>
    <row r="36" customFormat="false" ht="68.65" hidden="false" customHeight="false" outlineLevel="0" collapsed="false">
      <c r="A36" s="5" t="n">
        <v>35</v>
      </c>
      <c r="B36" s="6" t="b">
        <f aca="false">TRUE()</f>
        <v>1</v>
      </c>
      <c r="C36" s="7"/>
      <c r="D36" s="7"/>
      <c r="E36" s="7"/>
      <c r="F36" s="5" t="s">
        <v>292</v>
      </c>
      <c r="G36" s="5" t="s">
        <v>293</v>
      </c>
      <c r="H36" s="5" t="s">
        <v>294</v>
      </c>
      <c r="I36" s="6" t="b">
        <f aca="false">FALSE()</f>
        <v>0</v>
      </c>
      <c r="J36" s="5" t="s">
        <v>295</v>
      </c>
      <c r="K36" s="5" t="s">
        <v>51</v>
      </c>
      <c r="L36" s="5" t="s">
        <v>52</v>
      </c>
      <c r="M36" s="5" t="s">
        <v>106</v>
      </c>
      <c r="N36" s="5" t="n">
        <v>5</v>
      </c>
      <c r="O36" s="6" t="b">
        <f aca="false">TRUE()</f>
        <v>1</v>
      </c>
      <c r="P36" s="5" t="s">
        <v>296</v>
      </c>
      <c r="Q36" s="5" t="s">
        <v>297</v>
      </c>
      <c r="R36" s="5" t="s">
        <v>298</v>
      </c>
      <c r="S36" s="5" t="s">
        <v>299</v>
      </c>
    </row>
    <row r="37" customFormat="false" ht="68.65" hidden="false" customHeight="false" outlineLevel="0" collapsed="false">
      <c r="A37" s="5" t="n">
        <v>36</v>
      </c>
      <c r="B37" s="6" t="b">
        <f aca="false">TRUE()</f>
        <v>1</v>
      </c>
      <c r="C37" s="7"/>
      <c r="D37" s="7"/>
      <c r="E37" s="7"/>
      <c r="F37" s="5" t="s">
        <v>300</v>
      </c>
      <c r="G37" s="5" t="s">
        <v>301</v>
      </c>
      <c r="H37" s="5" t="s">
        <v>302</v>
      </c>
      <c r="I37" s="6" t="b">
        <f aca="false">FALSE()</f>
        <v>0</v>
      </c>
      <c r="J37" s="5" t="s">
        <v>251</v>
      </c>
      <c r="K37" s="5" t="s">
        <v>68</v>
      </c>
      <c r="L37" s="5" t="s">
        <v>42</v>
      </c>
      <c r="M37" s="5" t="s">
        <v>106</v>
      </c>
      <c r="N37" s="5" t="n">
        <v>5</v>
      </c>
      <c r="O37" s="6" t="b">
        <f aca="false">FALSE()</f>
        <v>0</v>
      </c>
      <c r="P37" s="5" t="s">
        <v>303</v>
      </c>
      <c r="Q37" s="5" t="s">
        <v>304</v>
      </c>
      <c r="R37" s="5" t="s">
        <v>305</v>
      </c>
      <c r="S37" s="5" t="s">
        <v>306</v>
      </c>
    </row>
    <row r="38" customFormat="false" ht="91" hidden="false" customHeight="false" outlineLevel="0" collapsed="false">
      <c r="A38" s="5" t="n">
        <v>37</v>
      </c>
      <c r="B38" s="6" t="b">
        <f aca="false">TRUE()</f>
        <v>1</v>
      </c>
      <c r="C38" s="7"/>
      <c r="D38" s="7"/>
      <c r="E38" s="7"/>
      <c r="F38" s="5" t="s">
        <v>307</v>
      </c>
      <c r="G38" s="5" t="s">
        <v>308</v>
      </c>
      <c r="H38" s="5" t="s">
        <v>309</v>
      </c>
      <c r="I38" s="6" t="b">
        <f aca="false">FALSE()</f>
        <v>0</v>
      </c>
      <c r="J38" s="5" t="s">
        <v>228</v>
      </c>
      <c r="K38" s="5" t="s">
        <v>68</v>
      </c>
      <c r="L38" s="5" t="s">
        <v>52</v>
      </c>
      <c r="M38" s="5" t="s">
        <v>106</v>
      </c>
      <c r="N38" s="5" t="n">
        <v>3</v>
      </c>
      <c r="O38" s="6" t="b">
        <f aca="false">TRUE()</f>
        <v>1</v>
      </c>
      <c r="P38" s="5" t="s">
        <v>310</v>
      </c>
      <c r="Q38" s="5" t="s">
        <v>311</v>
      </c>
      <c r="R38" s="5" t="s">
        <v>312</v>
      </c>
      <c r="S38" s="5" t="s">
        <v>313</v>
      </c>
    </row>
    <row r="39" customFormat="false" ht="68.65" hidden="false" customHeight="false" outlineLevel="0" collapsed="false">
      <c r="A39" s="5" t="n">
        <v>38</v>
      </c>
      <c r="B39" s="6" t="b">
        <f aca="false">TRUE()</f>
        <v>1</v>
      </c>
      <c r="C39" s="7"/>
      <c r="D39" s="7"/>
      <c r="E39" s="7"/>
      <c r="F39" s="5" t="s">
        <v>314</v>
      </c>
      <c r="G39" s="5" t="s">
        <v>315</v>
      </c>
      <c r="H39" s="5" t="s">
        <v>316</v>
      </c>
      <c r="I39" s="6" t="b">
        <f aca="false">FALSE()</f>
        <v>0</v>
      </c>
      <c r="J39" s="5" t="s">
        <v>251</v>
      </c>
      <c r="K39" s="5" t="s">
        <v>186</v>
      </c>
      <c r="L39" s="5" t="s">
        <v>52</v>
      </c>
      <c r="M39" s="5" t="s">
        <v>98</v>
      </c>
      <c r="N39" s="5" t="n">
        <v>5</v>
      </c>
      <c r="O39" s="6" t="b">
        <f aca="false">FALSE()</f>
        <v>0</v>
      </c>
      <c r="P39" s="5" t="s">
        <v>317</v>
      </c>
      <c r="Q39" s="5" t="s">
        <v>318</v>
      </c>
      <c r="R39" s="5" t="s">
        <v>319</v>
      </c>
      <c r="S39" s="5" t="s">
        <v>320</v>
      </c>
    </row>
    <row r="40" customFormat="false" ht="68.65" hidden="false" customHeight="false" outlineLevel="0" collapsed="false">
      <c r="A40" s="5" t="n">
        <v>39</v>
      </c>
      <c r="B40" s="6" t="b">
        <f aca="false">TRUE()</f>
        <v>1</v>
      </c>
      <c r="C40" s="7"/>
      <c r="D40" s="7"/>
      <c r="E40" s="7"/>
      <c r="F40" s="5" t="s">
        <v>321</v>
      </c>
      <c r="G40" s="5" t="s">
        <v>322</v>
      </c>
      <c r="H40" s="5" t="s">
        <v>323</v>
      </c>
      <c r="I40" s="6" t="b">
        <f aca="false">FALSE()</f>
        <v>0</v>
      </c>
      <c r="J40" s="5" t="s">
        <v>228</v>
      </c>
      <c r="K40" s="5" t="s">
        <v>41</v>
      </c>
      <c r="L40" s="5" t="s">
        <v>42</v>
      </c>
      <c r="M40" s="5" t="s">
        <v>324</v>
      </c>
      <c r="N40" s="5" t="n">
        <v>3</v>
      </c>
      <c r="O40" s="6" t="b">
        <f aca="false">TRUE()</f>
        <v>1</v>
      </c>
      <c r="P40" s="5" t="s">
        <v>325</v>
      </c>
      <c r="Q40" s="5" t="s">
        <v>326</v>
      </c>
      <c r="R40" s="5" t="s">
        <v>327</v>
      </c>
      <c r="S40" s="5" t="s">
        <v>328</v>
      </c>
    </row>
    <row r="41" customFormat="false" ht="46.25" hidden="false" customHeight="false" outlineLevel="0" collapsed="false">
      <c r="A41" s="5" t="n">
        <v>40</v>
      </c>
      <c r="B41" s="6" t="b">
        <f aca="false">TRUE()</f>
        <v>1</v>
      </c>
      <c r="C41" s="7"/>
      <c r="D41" s="7"/>
      <c r="E41" s="7"/>
      <c r="F41" s="5" t="s">
        <v>329</v>
      </c>
      <c r="G41" s="5" t="s">
        <v>330</v>
      </c>
      <c r="H41" s="5" t="s">
        <v>331</v>
      </c>
      <c r="I41" s="6" t="b">
        <f aca="false">FALSE()</f>
        <v>0</v>
      </c>
      <c r="J41" s="5" t="s">
        <v>273</v>
      </c>
      <c r="K41" s="5" t="s">
        <v>41</v>
      </c>
      <c r="L41" s="5" t="s">
        <v>42</v>
      </c>
      <c r="M41" s="5" t="s">
        <v>149</v>
      </c>
      <c r="N41" s="5" t="n">
        <v>5</v>
      </c>
      <c r="O41" s="6" t="b">
        <f aca="false">TRUE()</f>
        <v>1</v>
      </c>
      <c r="P41" s="5" t="s">
        <v>332</v>
      </c>
      <c r="Q41" s="5" t="s">
        <v>333</v>
      </c>
      <c r="R41" s="5" t="s">
        <v>334</v>
      </c>
      <c r="S41" s="5" t="s">
        <v>335</v>
      </c>
    </row>
    <row r="42" customFormat="false" ht="68.65" hidden="false" customHeight="false" outlineLevel="0" collapsed="false">
      <c r="A42" s="5" t="n">
        <v>41</v>
      </c>
      <c r="B42" s="6" t="b">
        <f aca="false">FALSE()</f>
        <v>0</v>
      </c>
      <c r="C42" s="7"/>
      <c r="D42" s="7"/>
      <c r="E42" s="7"/>
      <c r="F42" s="5" t="s">
        <v>336</v>
      </c>
      <c r="G42" s="5" t="s">
        <v>337</v>
      </c>
      <c r="H42" s="5" t="s">
        <v>338</v>
      </c>
      <c r="I42" s="6" t="b">
        <f aca="false">TRUE()</f>
        <v>1</v>
      </c>
      <c r="J42" s="5"/>
      <c r="K42" s="5" t="s">
        <v>51</v>
      </c>
      <c r="L42" s="5" t="s">
        <v>52</v>
      </c>
      <c r="M42" s="5" t="s">
        <v>53</v>
      </c>
      <c r="N42" s="5" t="n">
        <v>4</v>
      </c>
      <c r="O42" s="6" t="b">
        <f aca="false">TRUE()</f>
        <v>1</v>
      </c>
      <c r="P42" s="5" t="s">
        <v>339</v>
      </c>
      <c r="Q42" s="5" t="s">
        <v>340</v>
      </c>
      <c r="R42" s="5" t="s">
        <v>341</v>
      </c>
      <c r="S42" s="5" t="s">
        <v>342</v>
      </c>
    </row>
    <row r="43" customFormat="false" ht="68.65" hidden="false" customHeight="false" outlineLevel="0" collapsed="false">
      <c r="A43" s="5" t="n">
        <v>42</v>
      </c>
      <c r="B43" s="6" t="b">
        <f aca="false">FALSE()</f>
        <v>0</v>
      </c>
      <c r="C43" s="7"/>
      <c r="D43" s="7"/>
      <c r="E43" s="7"/>
      <c r="F43" s="5" t="s">
        <v>343</v>
      </c>
      <c r="G43" s="5" t="s">
        <v>344</v>
      </c>
      <c r="H43" s="5" t="s">
        <v>345</v>
      </c>
      <c r="I43" s="6" t="b">
        <f aca="false">TRUE()</f>
        <v>1</v>
      </c>
      <c r="J43" s="5"/>
      <c r="K43" s="5" t="s">
        <v>41</v>
      </c>
      <c r="L43" s="5" t="s">
        <v>42</v>
      </c>
      <c r="M43" s="5" t="s">
        <v>53</v>
      </c>
      <c r="N43" s="5" t="n">
        <v>5</v>
      </c>
      <c r="O43" s="6" t="b">
        <f aca="false">TRUE()</f>
        <v>1</v>
      </c>
      <c r="P43" s="5" t="s">
        <v>346</v>
      </c>
      <c r="Q43" s="5" t="s">
        <v>347</v>
      </c>
      <c r="R43" s="5" t="s">
        <v>348</v>
      </c>
      <c r="S43" s="5" t="s">
        <v>349</v>
      </c>
    </row>
    <row r="44" customFormat="false" ht="57.45" hidden="false" customHeight="false" outlineLevel="0" collapsed="false">
      <c r="A44" s="5" t="n">
        <v>43</v>
      </c>
      <c r="B44" s="6" t="b">
        <f aca="false">FALSE()</f>
        <v>0</v>
      </c>
      <c r="C44" s="7"/>
      <c r="D44" s="7"/>
      <c r="E44" s="7"/>
      <c r="F44" s="5" t="s">
        <v>350</v>
      </c>
      <c r="G44" s="5" t="s">
        <v>351</v>
      </c>
      <c r="H44" s="5" t="s">
        <v>352</v>
      </c>
      <c r="I44" s="6" t="b">
        <f aca="false">TRUE()</f>
        <v>1</v>
      </c>
      <c r="J44" s="5"/>
      <c r="K44" s="5" t="s">
        <v>51</v>
      </c>
      <c r="L44" s="5" t="s">
        <v>52</v>
      </c>
      <c r="M44" s="5" t="s">
        <v>53</v>
      </c>
      <c r="N44" s="5" t="n">
        <v>4</v>
      </c>
      <c r="O44" s="6" t="b">
        <f aca="false">TRUE()</f>
        <v>1</v>
      </c>
      <c r="P44" s="5" t="s">
        <v>353</v>
      </c>
      <c r="Q44" s="5" t="s">
        <v>354</v>
      </c>
      <c r="R44" s="5" t="s">
        <v>355</v>
      </c>
      <c r="S44" s="5" t="s">
        <v>356</v>
      </c>
    </row>
    <row r="45" customFormat="false" ht="91" hidden="false" customHeight="false" outlineLevel="0" collapsed="false">
      <c r="A45" s="5" t="n">
        <v>44</v>
      </c>
      <c r="B45" s="6" t="b">
        <f aca="false">FALSE()</f>
        <v>0</v>
      </c>
      <c r="C45" s="7"/>
      <c r="D45" s="7"/>
      <c r="E45" s="7"/>
      <c r="F45" s="5" t="s">
        <v>357</v>
      </c>
      <c r="G45" s="5" t="s">
        <v>358</v>
      </c>
      <c r="H45" s="5" t="s">
        <v>359</v>
      </c>
      <c r="I45" s="6" t="b">
        <f aca="false">TRUE()</f>
        <v>1</v>
      </c>
      <c r="J45" s="5"/>
      <c r="K45" s="5" t="s">
        <v>51</v>
      </c>
      <c r="L45" s="5" t="s">
        <v>187</v>
      </c>
      <c r="M45" s="5" t="s">
        <v>53</v>
      </c>
      <c r="N45" s="5" t="n">
        <v>4</v>
      </c>
      <c r="O45" s="6" t="b">
        <f aca="false">TRUE()</f>
        <v>1</v>
      </c>
      <c r="P45" s="5" t="s">
        <v>360</v>
      </c>
      <c r="Q45" s="5" t="s">
        <v>361</v>
      </c>
      <c r="R45" s="5" t="s">
        <v>362</v>
      </c>
      <c r="S45" s="5" t="s">
        <v>363</v>
      </c>
    </row>
    <row r="46" customFormat="false" ht="57.45" hidden="false" customHeight="false" outlineLevel="0" collapsed="false">
      <c r="A46" s="5" t="n">
        <v>45</v>
      </c>
      <c r="B46" s="6" t="b">
        <f aca="false">FALSE()</f>
        <v>0</v>
      </c>
      <c r="C46" s="7"/>
      <c r="D46" s="7"/>
      <c r="E46" s="7"/>
      <c r="F46" s="5" t="s">
        <v>364</v>
      </c>
      <c r="G46" s="5" t="s">
        <v>365</v>
      </c>
      <c r="H46" s="5" t="s">
        <v>366</v>
      </c>
      <c r="I46" s="6" t="b">
        <f aca="false">TRUE()</f>
        <v>1</v>
      </c>
      <c r="J46" s="5"/>
      <c r="K46" s="5" t="s">
        <v>41</v>
      </c>
      <c r="L46" s="5" t="s">
        <v>42</v>
      </c>
      <c r="M46" s="5" t="s">
        <v>90</v>
      </c>
      <c r="N46" s="5" t="n">
        <v>5</v>
      </c>
      <c r="O46" s="6" t="b">
        <f aca="false">TRUE()</f>
        <v>1</v>
      </c>
      <c r="P46" s="5" t="s">
        <v>367</v>
      </c>
      <c r="Q46" s="5" t="s">
        <v>368</v>
      </c>
      <c r="R46" s="5" t="s">
        <v>369</v>
      </c>
      <c r="S46" s="5" t="s">
        <v>370</v>
      </c>
    </row>
    <row r="47" customFormat="false" ht="46.25" hidden="false" customHeight="false" outlineLevel="0" collapsed="false">
      <c r="A47" s="5" t="n">
        <v>46</v>
      </c>
      <c r="B47" s="6" t="b">
        <f aca="false">FALSE()</f>
        <v>0</v>
      </c>
      <c r="C47" s="7"/>
      <c r="D47" s="7"/>
      <c r="E47" s="7"/>
      <c r="F47" s="5" t="s">
        <v>371</v>
      </c>
      <c r="G47" s="5" t="s">
        <v>372</v>
      </c>
      <c r="H47" s="5" t="s">
        <v>373</v>
      </c>
      <c r="I47" s="6" t="b">
        <f aca="false">TRUE()</f>
        <v>1</v>
      </c>
      <c r="J47" s="5"/>
      <c r="K47" s="5" t="s">
        <v>68</v>
      </c>
      <c r="L47" s="5" t="s">
        <v>52</v>
      </c>
      <c r="M47" s="5" t="s">
        <v>98</v>
      </c>
      <c r="N47" s="5" t="n">
        <v>5</v>
      </c>
      <c r="O47" s="6" t="b">
        <f aca="false">TRUE()</f>
        <v>1</v>
      </c>
      <c r="P47" s="5" t="s">
        <v>374</v>
      </c>
      <c r="Q47" s="5" t="s">
        <v>375</v>
      </c>
      <c r="R47" s="5" t="s">
        <v>376</v>
      </c>
      <c r="S47" s="5" t="s">
        <v>377</v>
      </c>
    </row>
    <row r="48" customFormat="false" ht="46.25" hidden="false" customHeight="false" outlineLevel="0" collapsed="false">
      <c r="A48" s="5" t="n">
        <v>47</v>
      </c>
      <c r="B48" s="6" t="b">
        <f aca="false">FALSE()</f>
        <v>0</v>
      </c>
      <c r="C48" s="7"/>
      <c r="D48" s="7"/>
      <c r="E48" s="7"/>
      <c r="F48" s="5" t="s">
        <v>378</v>
      </c>
      <c r="G48" s="5" t="s">
        <v>379</v>
      </c>
      <c r="H48" s="5" t="s">
        <v>380</v>
      </c>
      <c r="I48" s="6" t="b">
        <f aca="false">TRUE()</f>
        <v>1</v>
      </c>
      <c r="J48" s="5"/>
      <c r="K48" s="5" t="s">
        <v>41</v>
      </c>
      <c r="L48" s="5" t="s">
        <v>42</v>
      </c>
      <c r="M48" s="5" t="s">
        <v>243</v>
      </c>
      <c r="N48" s="5" t="n">
        <v>5</v>
      </c>
      <c r="O48" s="6" t="b">
        <f aca="false">TRUE()</f>
        <v>1</v>
      </c>
      <c r="P48" s="5" t="s">
        <v>381</v>
      </c>
      <c r="Q48" s="5" t="s">
        <v>382</v>
      </c>
      <c r="R48" s="5" t="s">
        <v>383</v>
      </c>
      <c r="S48" s="5" t="s">
        <v>384</v>
      </c>
    </row>
    <row r="49" customFormat="false" ht="68.65" hidden="false" customHeight="false" outlineLevel="0" collapsed="false">
      <c r="A49" s="5" t="n">
        <v>48</v>
      </c>
      <c r="B49" s="6" t="b">
        <f aca="false">FALSE()</f>
        <v>0</v>
      </c>
      <c r="C49" s="7"/>
      <c r="D49" s="7"/>
      <c r="E49" s="7"/>
      <c r="F49" s="5" t="s">
        <v>385</v>
      </c>
      <c r="G49" s="5" t="s">
        <v>386</v>
      </c>
      <c r="H49" s="5" t="s">
        <v>387</v>
      </c>
      <c r="I49" s="6" t="b">
        <f aca="false">TRUE()</f>
        <v>1</v>
      </c>
      <c r="J49" s="5"/>
      <c r="K49" s="5" t="s">
        <v>41</v>
      </c>
      <c r="L49" s="5" t="s">
        <v>42</v>
      </c>
      <c r="M49" s="5" t="s">
        <v>90</v>
      </c>
      <c r="N49" s="5" t="n">
        <v>5</v>
      </c>
      <c r="O49" s="6" t="b">
        <f aca="false">TRUE()</f>
        <v>1</v>
      </c>
      <c r="P49" s="5" t="s">
        <v>388</v>
      </c>
      <c r="Q49" s="5" t="s">
        <v>389</v>
      </c>
      <c r="R49" s="5" t="s">
        <v>390</v>
      </c>
      <c r="S49" s="5" t="s">
        <v>391</v>
      </c>
    </row>
    <row r="50" customFormat="false" ht="68.65" hidden="false" customHeight="false" outlineLevel="0" collapsed="false">
      <c r="A50" s="5" t="n">
        <v>49</v>
      </c>
      <c r="B50" s="6" t="b">
        <f aca="false">FALSE()</f>
        <v>0</v>
      </c>
      <c r="C50" s="7"/>
      <c r="D50" s="7"/>
      <c r="E50" s="7"/>
      <c r="F50" s="5" t="s">
        <v>392</v>
      </c>
      <c r="G50" s="5" t="s">
        <v>393</v>
      </c>
      <c r="H50" s="5" t="s">
        <v>394</v>
      </c>
      <c r="I50" s="6" t="b">
        <f aca="false">TRUE()</f>
        <v>1</v>
      </c>
      <c r="J50" s="5"/>
      <c r="K50" s="5" t="s">
        <v>51</v>
      </c>
      <c r="L50" s="5" t="s">
        <v>52</v>
      </c>
      <c r="M50" s="5" t="s">
        <v>90</v>
      </c>
      <c r="N50" s="5" t="n">
        <v>5</v>
      </c>
      <c r="O50" s="6" t="b">
        <f aca="false">TRUE()</f>
        <v>1</v>
      </c>
      <c r="P50" s="5" t="s">
        <v>395</v>
      </c>
      <c r="Q50" s="5" t="s">
        <v>396</v>
      </c>
      <c r="R50" s="5" t="s">
        <v>397</v>
      </c>
      <c r="S50" s="5" t="s">
        <v>398</v>
      </c>
    </row>
    <row r="51" customFormat="false" ht="68.65" hidden="false" customHeight="false" outlineLevel="0" collapsed="false">
      <c r="A51" s="5" t="n">
        <v>50</v>
      </c>
      <c r="B51" s="6" t="b">
        <f aca="false">FALSE()</f>
        <v>0</v>
      </c>
      <c r="C51" s="7"/>
      <c r="D51" s="7"/>
      <c r="E51" s="7"/>
      <c r="F51" s="5" t="s">
        <v>399</v>
      </c>
      <c r="G51" s="5" t="s">
        <v>400</v>
      </c>
      <c r="H51" s="5" t="s">
        <v>401</v>
      </c>
      <c r="I51" s="6" t="b">
        <f aca="false">TRUE()</f>
        <v>1</v>
      </c>
      <c r="J51" s="5"/>
      <c r="K51" s="5" t="s">
        <v>41</v>
      </c>
      <c r="L51" s="5" t="s">
        <v>42</v>
      </c>
      <c r="M51" s="5" t="s">
        <v>98</v>
      </c>
      <c r="N51" s="5" t="n">
        <v>4</v>
      </c>
      <c r="O51" s="6" t="b">
        <f aca="false">TRUE()</f>
        <v>1</v>
      </c>
      <c r="P51" s="5" t="s">
        <v>402</v>
      </c>
      <c r="Q51" s="5" t="s">
        <v>403</v>
      </c>
      <c r="R51" s="5" t="s">
        <v>404</v>
      </c>
      <c r="S51" s="5" t="s">
        <v>405</v>
      </c>
    </row>
    <row r="52" customFormat="false" ht="57.45" hidden="false" customHeight="false" outlineLevel="0" collapsed="false">
      <c r="A52" s="5" t="n">
        <v>51</v>
      </c>
      <c r="B52" s="6" t="b">
        <f aca="false">FALSE()</f>
        <v>0</v>
      </c>
      <c r="C52" s="7"/>
      <c r="D52" s="7"/>
      <c r="E52" s="7"/>
      <c r="F52" s="5" t="s">
        <v>406</v>
      </c>
      <c r="G52" s="5" t="s">
        <v>407</v>
      </c>
      <c r="H52" s="5" t="s">
        <v>408</v>
      </c>
      <c r="I52" s="6" t="b">
        <f aca="false">TRUE()</f>
        <v>1</v>
      </c>
      <c r="J52" s="5"/>
      <c r="K52" s="5" t="s">
        <v>41</v>
      </c>
      <c r="L52" s="5" t="s">
        <v>42</v>
      </c>
      <c r="M52" s="5" t="s">
        <v>53</v>
      </c>
      <c r="N52" s="5" t="n">
        <v>5</v>
      </c>
      <c r="O52" s="6" t="b">
        <f aca="false">TRUE()</f>
        <v>1</v>
      </c>
      <c r="P52" s="5" t="s">
        <v>409</v>
      </c>
      <c r="Q52" s="5" t="s">
        <v>410</v>
      </c>
      <c r="R52" s="5" t="s">
        <v>411</v>
      </c>
      <c r="S52" s="5" t="s">
        <v>412</v>
      </c>
    </row>
    <row r="53" customFormat="false" ht="46.25" hidden="false" customHeight="false" outlineLevel="0" collapsed="false">
      <c r="A53" s="5" t="n">
        <v>52</v>
      </c>
      <c r="B53" s="6" t="b">
        <f aca="false">FALSE()</f>
        <v>0</v>
      </c>
      <c r="C53" s="7"/>
      <c r="D53" s="7"/>
      <c r="E53" s="7"/>
      <c r="F53" s="5" t="s">
        <v>413</v>
      </c>
      <c r="G53" s="5" t="s">
        <v>414</v>
      </c>
      <c r="H53" s="5" t="s">
        <v>415</v>
      </c>
      <c r="I53" s="6" t="b">
        <f aca="false">TRUE()</f>
        <v>1</v>
      </c>
      <c r="J53" s="5"/>
      <c r="K53" s="5" t="s">
        <v>51</v>
      </c>
      <c r="L53" s="5" t="s">
        <v>52</v>
      </c>
      <c r="M53" s="5" t="s">
        <v>43</v>
      </c>
      <c r="N53" s="5" t="n">
        <v>5</v>
      </c>
      <c r="O53" s="6" t="b">
        <f aca="false">TRUE()</f>
        <v>1</v>
      </c>
      <c r="P53" s="5" t="s">
        <v>416</v>
      </c>
      <c r="Q53" s="5" t="s">
        <v>417</v>
      </c>
      <c r="R53" s="5" t="s">
        <v>418</v>
      </c>
      <c r="S53" s="5" t="s">
        <v>419</v>
      </c>
    </row>
    <row r="54" customFormat="false" ht="46.25" hidden="false" customHeight="false" outlineLevel="0" collapsed="false">
      <c r="A54" s="5" t="n">
        <v>53</v>
      </c>
      <c r="B54" s="6" t="b">
        <f aca="false">FALSE()</f>
        <v>0</v>
      </c>
      <c r="C54" s="7"/>
      <c r="D54" s="7"/>
      <c r="E54" s="7"/>
      <c r="F54" s="5" t="s">
        <v>420</v>
      </c>
      <c r="G54" s="5" t="s">
        <v>421</v>
      </c>
      <c r="H54" s="5" t="s">
        <v>422</v>
      </c>
      <c r="I54" s="6" t="b">
        <f aca="false">TRUE()</f>
        <v>1</v>
      </c>
      <c r="J54" s="5"/>
      <c r="K54" s="5" t="s">
        <v>68</v>
      </c>
      <c r="L54" s="5" t="s">
        <v>52</v>
      </c>
      <c r="M54" s="5" t="s">
        <v>90</v>
      </c>
      <c r="N54" s="5" t="n">
        <v>5</v>
      </c>
      <c r="O54" s="6" t="b">
        <f aca="false">TRUE()</f>
        <v>1</v>
      </c>
      <c r="P54" s="5" t="s">
        <v>423</v>
      </c>
      <c r="Q54" s="5" t="s">
        <v>424</v>
      </c>
      <c r="R54" s="5" t="s">
        <v>425</v>
      </c>
      <c r="S54" s="5" t="s">
        <v>426</v>
      </c>
    </row>
    <row r="55" customFormat="false" ht="68.65" hidden="false" customHeight="false" outlineLevel="0" collapsed="false">
      <c r="A55" s="5" t="n">
        <v>54</v>
      </c>
      <c r="B55" s="6" t="b">
        <f aca="false">FALSE()</f>
        <v>0</v>
      </c>
      <c r="C55" s="7"/>
      <c r="D55" s="7"/>
      <c r="E55" s="7"/>
      <c r="F55" s="5" t="s">
        <v>427</v>
      </c>
      <c r="G55" s="5" t="s">
        <v>428</v>
      </c>
      <c r="H55" s="5" t="s">
        <v>429</v>
      </c>
      <c r="I55" s="6" t="b">
        <f aca="false">TRUE()</f>
        <v>1</v>
      </c>
      <c r="J55" s="5"/>
      <c r="K55" s="5" t="s">
        <v>51</v>
      </c>
      <c r="L55" s="5" t="s">
        <v>52</v>
      </c>
      <c r="M55" s="5" t="s">
        <v>106</v>
      </c>
      <c r="N55" s="5" t="n">
        <v>4</v>
      </c>
      <c r="O55" s="6" t="b">
        <f aca="false">TRUE()</f>
        <v>1</v>
      </c>
      <c r="P55" s="5" t="s">
        <v>430</v>
      </c>
      <c r="Q55" s="5" t="s">
        <v>431</v>
      </c>
      <c r="R55" s="5" t="s">
        <v>432</v>
      </c>
      <c r="S55" s="5" t="s">
        <v>433</v>
      </c>
    </row>
    <row r="56" customFormat="false" ht="57.45" hidden="false" customHeight="false" outlineLevel="0" collapsed="false">
      <c r="A56" s="5" t="n">
        <v>55</v>
      </c>
      <c r="B56" s="6" t="b">
        <f aca="false">FALSE()</f>
        <v>0</v>
      </c>
      <c r="C56" s="7"/>
      <c r="D56" s="7"/>
      <c r="E56" s="7"/>
      <c r="F56" s="5" t="s">
        <v>434</v>
      </c>
      <c r="G56" s="5" t="s">
        <v>435</v>
      </c>
      <c r="H56" s="5" t="s">
        <v>436</v>
      </c>
      <c r="I56" s="6" t="b">
        <f aca="false">TRUE()</f>
        <v>1</v>
      </c>
      <c r="J56" s="5"/>
      <c r="K56" s="5" t="s">
        <v>68</v>
      </c>
      <c r="L56" s="5" t="s">
        <v>42</v>
      </c>
      <c r="M56" s="5" t="s">
        <v>43</v>
      </c>
      <c r="N56" s="5" t="n">
        <v>5</v>
      </c>
      <c r="O56" s="6" t="b">
        <f aca="false">TRUE()</f>
        <v>1</v>
      </c>
      <c r="P56" s="5" t="s">
        <v>437</v>
      </c>
      <c r="Q56" s="5" t="s">
        <v>438</v>
      </c>
      <c r="R56" s="5" t="s">
        <v>439</v>
      </c>
      <c r="S56" s="5" t="s">
        <v>440</v>
      </c>
    </row>
    <row r="57" customFormat="false" ht="57.45" hidden="false" customHeight="false" outlineLevel="0" collapsed="false">
      <c r="A57" s="5" t="n">
        <v>56</v>
      </c>
      <c r="B57" s="6" t="b">
        <f aca="false">FALSE()</f>
        <v>0</v>
      </c>
      <c r="C57" s="7"/>
      <c r="D57" s="7"/>
      <c r="E57" s="7"/>
      <c r="F57" s="5" t="s">
        <v>441</v>
      </c>
      <c r="G57" s="5" t="s">
        <v>442</v>
      </c>
      <c r="H57" s="5" t="s">
        <v>443</v>
      </c>
      <c r="I57" s="6" t="b">
        <f aca="false">TRUE()</f>
        <v>1</v>
      </c>
      <c r="J57" s="5"/>
      <c r="K57" s="5" t="s">
        <v>68</v>
      </c>
      <c r="L57" s="5" t="s">
        <v>42</v>
      </c>
      <c r="M57" s="5" t="s">
        <v>53</v>
      </c>
      <c r="N57" s="5" t="n">
        <v>5</v>
      </c>
      <c r="O57" s="6" t="b">
        <f aca="false">TRUE()</f>
        <v>1</v>
      </c>
      <c r="P57" s="5" t="s">
        <v>444</v>
      </c>
      <c r="Q57" s="5" t="s">
        <v>445</v>
      </c>
      <c r="R57" s="5" t="s">
        <v>446</v>
      </c>
      <c r="S57" s="5" t="s">
        <v>447</v>
      </c>
    </row>
    <row r="58" customFormat="false" ht="68.65" hidden="false" customHeight="false" outlineLevel="0" collapsed="false">
      <c r="A58" s="5" t="n">
        <v>57</v>
      </c>
      <c r="B58" s="6" t="b">
        <f aca="false">FALSE()</f>
        <v>0</v>
      </c>
      <c r="C58" s="7"/>
      <c r="D58" s="7"/>
      <c r="E58" s="7"/>
      <c r="F58" s="5" t="s">
        <v>448</v>
      </c>
      <c r="G58" s="5" t="s">
        <v>449</v>
      </c>
      <c r="H58" s="5" t="s">
        <v>450</v>
      </c>
      <c r="I58" s="6" t="b">
        <f aca="false">TRUE()</f>
        <v>1</v>
      </c>
      <c r="J58" s="5"/>
      <c r="K58" s="5" t="s">
        <v>51</v>
      </c>
      <c r="L58" s="5" t="s">
        <v>52</v>
      </c>
      <c r="M58" s="5" t="s">
        <v>451</v>
      </c>
      <c r="N58" s="5" t="n">
        <v>5</v>
      </c>
      <c r="O58" s="6" t="b">
        <f aca="false">TRUE()</f>
        <v>1</v>
      </c>
      <c r="P58" s="5" t="s">
        <v>452</v>
      </c>
      <c r="Q58" s="5" t="s">
        <v>453</v>
      </c>
      <c r="R58" s="5" t="s">
        <v>454</v>
      </c>
      <c r="S58" s="5" t="s">
        <v>455</v>
      </c>
    </row>
    <row r="59" customFormat="false" ht="68.65" hidden="false" customHeight="false" outlineLevel="0" collapsed="false">
      <c r="A59" s="5" t="n">
        <v>58</v>
      </c>
      <c r="B59" s="6" t="b">
        <f aca="false">FALSE()</f>
        <v>0</v>
      </c>
      <c r="C59" s="7"/>
      <c r="D59" s="7"/>
      <c r="E59" s="7"/>
      <c r="F59" s="5" t="s">
        <v>456</v>
      </c>
      <c r="G59" s="5" t="s">
        <v>457</v>
      </c>
      <c r="H59" s="5" t="s">
        <v>458</v>
      </c>
      <c r="I59" s="6" t="b">
        <f aca="false">TRUE()</f>
        <v>1</v>
      </c>
      <c r="J59" s="5"/>
      <c r="K59" s="5" t="s">
        <v>186</v>
      </c>
      <c r="L59" s="5" t="s">
        <v>187</v>
      </c>
      <c r="M59" s="5" t="s">
        <v>243</v>
      </c>
      <c r="N59" s="5" t="n">
        <v>4</v>
      </c>
      <c r="O59" s="6" t="b">
        <f aca="false">TRUE()</f>
        <v>1</v>
      </c>
      <c r="P59" s="5" t="s">
        <v>459</v>
      </c>
      <c r="Q59" s="5" t="s">
        <v>460</v>
      </c>
      <c r="R59" s="5" t="s">
        <v>461</v>
      </c>
      <c r="S59" s="5" t="s">
        <v>462</v>
      </c>
    </row>
    <row r="60" customFormat="false" ht="57.45" hidden="false" customHeight="false" outlineLevel="0" collapsed="false">
      <c r="A60" s="5" t="n">
        <v>59</v>
      </c>
      <c r="B60" s="6" t="b">
        <f aca="false">FALSE()</f>
        <v>0</v>
      </c>
      <c r="C60" s="7"/>
      <c r="D60" s="7"/>
      <c r="E60" s="7"/>
      <c r="F60" s="5" t="s">
        <v>463</v>
      </c>
      <c r="G60" s="5" t="s">
        <v>464</v>
      </c>
      <c r="H60" s="5" t="s">
        <v>465</v>
      </c>
      <c r="I60" s="6" t="b">
        <f aca="false">TRUE()</f>
        <v>1</v>
      </c>
      <c r="J60" s="5"/>
      <c r="K60" s="5" t="s">
        <v>68</v>
      </c>
      <c r="L60" s="5" t="s">
        <v>42</v>
      </c>
      <c r="M60" s="5" t="s">
        <v>43</v>
      </c>
      <c r="N60" s="5" t="n">
        <v>5</v>
      </c>
      <c r="O60" s="6" t="b">
        <f aca="false">TRUE()</f>
        <v>1</v>
      </c>
      <c r="P60" s="5" t="s">
        <v>466</v>
      </c>
      <c r="Q60" s="5" t="s">
        <v>467</v>
      </c>
      <c r="R60" s="5" t="s">
        <v>468</v>
      </c>
      <c r="S60" s="5" t="s">
        <v>469</v>
      </c>
    </row>
    <row r="61" customFormat="false" ht="68.65" hidden="false" customHeight="false" outlineLevel="0" collapsed="false">
      <c r="A61" s="5" t="n">
        <v>60</v>
      </c>
      <c r="B61" s="6" t="b">
        <f aca="false">FALSE()</f>
        <v>0</v>
      </c>
      <c r="C61" s="7"/>
      <c r="D61" s="7"/>
      <c r="E61" s="7"/>
      <c r="F61" s="5" t="s">
        <v>470</v>
      </c>
      <c r="G61" s="5" t="s">
        <v>471</v>
      </c>
      <c r="H61" s="5" t="s">
        <v>472</v>
      </c>
      <c r="I61" s="6" t="b">
        <f aca="false">TRUE()</f>
        <v>1</v>
      </c>
      <c r="J61" s="5"/>
      <c r="K61" s="5" t="s">
        <v>41</v>
      </c>
      <c r="L61" s="5" t="s">
        <v>52</v>
      </c>
      <c r="M61" s="5" t="s">
        <v>43</v>
      </c>
      <c r="N61" s="5" t="n">
        <v>5</v>
      </c>
      <c r="O61" s="6" t="b">
        <f aca="false">TRUE()</f>
        <v>1</v>
      </c>
      <c r="P61" s="5" t="s">
        <v>473</v>
      </c>
      <c r="Q61" s="5" t="s">
        <v>474</v>
      </c>
      <c r="R61" s="5" t="s">
        <v>475</v>
      </c>
      <c r="S61" s="5" t="s">
        <v>476</v>
      </c>
    </row>
    <row r="62" customFormat="false" ht="79.85" hidden="false" customHeight="false" outlineLevel="0" collapsed="false">
      <c r="A62" s="5" t="n">
        <v>61</v>
      </c>
      <c r="B62" s="6" t="b">
        <f aca="false">FALSE()</f>
        <v>0</v>
      </c>
      <c r="C62" s="7"/>
      <c r="D62" s="7"/>
      <c r="E62" s="7"/>
      <c r="F62" s="5" t="s">
        <v>477</v>
      </c>
      <c r="G62" s="5" t="s">
        <v>478</v>
      </c>
      <c r="H62" s="5" t="s">
        <v>479</v>
      </c>
      <c r="I62" s="6" t="b">
        <f aca="false">TRUE()</f>
        <v>1</v>
      </c>
      <c r="J62" s="5"/>
      <c r="K62" s="5" t="s">
        <v>68</v>
      </c>
      <c r="L62" s="5" t="s">
        <v>42</v>
      </c>
      <c r="M62" s="5" t="s">
        <v>43</v>
      </c>
      <c r="N62" s="5" t="n">
        <v>5</v>
      </c>
      <c r="O62" s="6" t="b">
        <f aca="false">TRUE()</f>
        <v>1</v>
      </c>
      <c r="P62" s="5" t="s">
        <v>480</v>
      </c>
      <c r="Q62" s="5" t="s">
        <v>481</v>
      </c>
      <c r="R62" s="5" t="s">
        <v>482</v>
      </c>
      <c r="S62" s="5" t="s">
        <v>483</v>
      </c>
    </row>
    <row r="63" customFormat="false" ht="102.2" hidden="false" customHeight="false" outlineLevel="0" collapsed="false">
      <c r="A63" s="5" t="n">
        <v>62</v>
      </c>
      <c r="B63" s="6" t="b">
        <f aca="false">FALSE()</f>
        <v>0</v>
      </c>
      <c r="C63" s="7"/>
      <c r="D63" s="7"/>
      <c r="E63" s="7"/>
      <c r="F63" s="5" t="s">
        <v>484</v>
      </c>
      <c r="G63" s="5" t="s">
        <v>485</v>
      </c>
      <c r="H63" s="5" t="s">
        <v>486</v>
      </c>
      <c r="I63" s="6" t="b">
        <f aca="false">TRUE()</f>
        <v>1</v>
      </c>
      <c r="J63" s="5"/>
      <c r="K63" s="5" t="s">
        <v>41</v>
      </c>
      <c r="L63" s="5" t="s">
        <v>52</v>
      </c>
      <c r="M63" s="5" t="s">
        <v>106</v>
      </c>
      <c r="N63" s="5" t="n">
        <v>5</v>
      </c>
      <c r="O63" s="6" t="b">
        <f aca="false">TRUE()</f>
        <v>1</v>
      </c>
      <c r="P63" s="5" t="s">
        <v>487</v>
      </c>
      <c r="Q63" s="5" t="s">
        <v>488</v>
      </c>
      <c r="R63" s="5" t="s">
        <v>489</v>
      </c>
      <c r="S63" s="5" t="s">
        <v>490</v>
      </c>
    </row>
    <row r="64" customFormat="false" ht="79.85" hidden="false" customHeight="false" outlineLevel="0" collapsed="false">
      <c r="A64" s="5" t="n">
        <v>63</v>
      </c>
      <c r="B64" s="6" t="b">
        <f aca="false">FALSE()</f>
        <v>0</v>
      </c>
      <c r="C64" s="7"/>
      <c r="D64" s="7"/>
      <c r="E64" s="7"/>
      <c r="F64" s="5" t="s">
        <v>491</v>
      </c>
      <c r="G64" s="5" t="s">
        <v>492</v>
      </c>
      <c r="H64" s="5" t="s">
        <v>493</v>
      </c>
      <c r="I64" s="6" t="b">
        <f aca="false">TRUE()</f>
        <v>1</v>
      </c>
      <c r="J64" s="5"/>
      <c r="K64" s="5" t="s">
        <v>68</v>
      </c>
      <c r="L64" s="5" t="s">
        <v>42</v>
      </c>
      <c r="M64" s="5" t="s">
        <v>53</v>
      </c>
      <c r="N64" s="5" t="n">
        <v>5</v>
      </c>
      <c r="O64" s="6" t="b">
        <f aca="false">TRUE()</f>
        <v>1</v>
      </c>
      <c r="P64" s="5" t="s">
        <v>494</v>
      </c>
      <c r="Q64" s="5" t="s">
        <v>495</v>
      </c>
      <c r="R64" s="5" t="s">
        <v>496</v>
      </c>
      <c r="S64" s="5" t="s">
        <v>497</v>
      </c>
    </row>
    <row r="65" customFormat="false" ht="68.65" hidden="false" customHeight="false" outlineLevel="0" collapsed="false">
      <c r="A65" s="5" t="n">
        <v>64</v>
      </c>
      <c r="B65" s="6" t="b">
        <f aca="false">FALSE()</f>
        <v>0</v>
      </c>
      <c r="C65" s="7"/>
      <c r="D65" s="7"/>
      <c r="E65" s="7"/>
      <c r="F65" s="5" t="s">
        <v>498</v>
      </c>
      <c r="G65" s="5" t="s">
        <v>499</v>
      </c>
      <c r="H65" s="5" t="s">
        <v>500</v>
      </c>
      <c r="I65" s="6" t="b">
        <f aca="false">TRUE()</f>
        <v>1</v>
      </c>
      <c r="J65" s="5"/>
      <c r="K65" s="5" t="s">
        <v>68</v>
      </c>
      <c r="L65" s="5" t="s">
        <v>52</v>
      </c>
      <c r="M65" s="5" t="s">
        <v>98</v>
      </c>
      <c r="N65" s="5" t="n">
        <v>5</v>
      </c>
      <c r="O65" s="6" t="b">
        <f aca="false">TRUE()</f>
        <v>1</v>
      </c>
      <c r="P65" s="5" t="s">
        <v>501</v>
      </c>
      <c r="Q65" s="5" t="s">
        <v>502</v>
      </c>
      <c r="R65" s="5" t="s">
        <v>503</v>
      </c>
      <c r="S65" s="5" t="s">
        <v>504</v>
      </c>
    </row>
    <row r="66" customFormat="false" ht="57.45" hidden="false" customHeight="false" outlineLevel="0" collapsed="false">
      <c r="A66" s="5" t="n">
        <v>65</v>
      </c>
      <c r="B66" s="6" t="b">
        <f aca="false">FALSE()</f>
        <v>0</v>
      </c>
      <c r="C66" s="7"/>
      <c r="D66" s="7"/>
      <c r="E66" s="7"/>
      <c r="F66" s="5" t="s">
        <v>505</v>
      </c>
      <c r="G66" s="5" t="s">
        <v>506</v>
      </c>
      <c r="H66" s="5" t="s">
        <v>507</v>
      </c>
      <c r="I66" s="6" t="b">
        <f aca="false">TRUE()</f>
        <v>1</v>
      </c>
      <c r="J66" s="5"/>
      <c r="K66" s="5" t="s">
        <v>68</v>
      </c>
      <c r="L66" s="5" t="s">
        <v>42</v>
      </c>
      <c r="M66" s="5" t="s">
        <v>508</v>
      </c>
      <c r="N66" s="5" t="n">
        <v>5</v>
      </c>
      <c r="O66" s="6" t="b">
        <f aca="false">TRUE()</f>
        <v>1</v>
      </c>
      <c r="P66" s="5" t="s">
        <v>509</v>
      </c>
      <c r="Q66" s="5" t="s">
        <v>510</v>
      </c>
      <c r="R66" s="5" t="s">
        <v>511</v>
      </c>
      <c r="S66" s="5" t="s">
        <v>512</v>
      </c>
    </row>
    <row r="67" customFormat="false" ht="68.65" hidden="false" customHeight="false" outlineLevel="0" collapsed="false">
      <c r="A67" s="5" t="n">
        <v>66</v>
      </c>
      <c r="B67" s="6" t="b">
        <f aca="false">FALSE()</f>
        <v>0</v>
      </c>
      <c r="C67" s="7"/>
      <c r="D67" s="7"/>
      <c r="E67" s="7"/>
      <c r="F67" s="5" t="s">
        <v>513</v>
      </c>
      <c r="G67" s="5" t="s">
        <v>514</v>
      </c>
      <c r="H67" s="5" t="s">
        <v>515</v>
      </c>
      <c r="I67" s="6" t="b">
        <f aca="false">TRUE()</f>
        <v>1</v>
      </c>
      <c r="J67" s="5"/>
      <c r="K67" s="5" t="s">
        <v>51</v>
      </c>
      <c r="L67" s="5" t="s">
        <v>52</v>
      </c>
      <c r="M67" s="5" t="s">
        <v>106</v>
      </c>
      <c r="N67" s="5" t="n">
        <v>5</v>
      </c>
      <c r="O67" s="6" t="b">
        <f aca="false">TRUE()</f>
        <v>1</v>
      </c>
      <c r="P67" s="5" t="s">
        <v>516</v>
      </c>
      <c r="Q67" s="5" t="s">
        <v>517</v>
      </c>
      <c r="R67" s="5" t="s">
        <v>518</v>
      </c>
      <c r="S67" s="5" t="s">
        <v>519</v>
      </c>
    </row>
    <row r="68" customFormat="false" ht="68.65" hidden="false" customHeight="false" outlineLevel="0" collapsed="false">
      <c r="A68" s="5" t="n">
        <v>67</v>
      </c>
      <c r="B68" s="6" t="b">
        <f aca="false">FALSE()</f>
        <v>0</v>
      </c>
      <c r="C68" s="7"/>
      <c r="D68" s="7"/>
      <c r="E68" s="7"/>
      <c r="F68" s="5" t="s">
        <v>520</v>
      </c>
      <c r="G68" s="5" t="s">
        <v>521</v>
      </c>
      <c r="H68" s="5" t="s">
        <v>522</v>
      </c>
      <c r="I68" s="6" t="b">
        <f aca="false">TRUE()</f>
        <v>1</v>
      </c>
      <c r="J68" s="5"/>
      <c r="K68" s="5" t="s">
        <v>68</v>
      </c>
      <c r="L68" s="5" t="s">
        <v>52</v>
      </c>
      <c r="M68" s="5" t="s">
        <v>451</v>
      </c>
      <c r="N68" s="5" t="n">
        <v>5</v>
      </c>
      <c r="O68" s="6" t="b">
        <f aca="false">TRUE()</f>
        <v>1</v>
      </c>
      <c r="P68" s="5" t="s">
        <v>523</v>
      </c>
      <c r="Q68" s="5" t="s">
        <v>524</v>
      </c>
      <c r="R68" s="5" t="s">
        <v>525</v>
      </c>
      <c r="S68" s="5" t="s">
        <v>526</v>
      </c>
    </row>
    <row r="69" customFormat="false" ht="91" hidden="false" customHeight="false" outlineLevel="0" collapsed="false">
      <c r="A69" s="5" t="n">
        <v>68</v>
      </c>
      <c r="B69" s="6" t="b">
        <f aca="false">FALSE()</f>
        <v>0</v>
      </c>
      <c r="C69" s="7"/>
      <c r="D69" s="7"/>
      <c r="E69" s="7"/>
      <c r="F69" s="5" t="s">
        <v>527</v>
      </c>
      <c r="G69" s="5" t="s">
        <v>528</v>
      </c>
      <c r="H69" s="5" t="s">
        <v>529</v>
      </c>
      <c r="I69" s="6" t="b">
        <f aca="false">TRUE()</f>
        <v>1</v>
      </c>
      <c r="J69" s="5"/>
      <c r="K69" s="5" t="s">
        <v>51</v>
      </c>
      <c r="L69" s="5" t="s">
        <v>52</v>
      </c>
      <c r="M69" s="5" t="s">
        <v>106</v>
      </c>
      <c r="N69" s="5" t="n">
        <v>5</v>
      </c>
      <c r="O69" s="6" t="b">
        <f aca="false">TRUE()</f>
        <v>1</v>
      </c>
      <c r="P69" s="5" t="s">
        <v>530</v>
      </c>
      <c r="Q69" s="5" t="s">
        <v>531</v>
      </c>
      <c r="R69" s="5" t="s">
        <v>532</v>
      </c>
      <c r="S69" s="5" t="s">
        <v>533</v>
      </c>
    </row>
    <row r="70" customFormat="false" ht="102.2" hidden="false" customHeight="false" outlineLevel="0" collapsed="false">
      <c r="A70" s="5" t="n">
        <v>69</v>
      </c>
      <c r="B70" s="6" t="b">
        <f aca="false">FALSE()</f>
        <v>0</v>
      </c>
      <c r="C70" s="7"/>
      <c r="D70" s="7"/>
      <c r="E70" s="7"/>
      <c r="F70" s="5" t="s">
        <v>534</v>
      </c>
      <c r="G70" s="5" t="s">
        <v>535</v>
      </c>
      <c r="H70" s="5" t="s">
        <v>536</v>
      </c>
      <c r="I70" s="6" t="b">
        <f aca="false">TRUE()</f>
        <v>1</v>
      </c>
      <c r="J70" s="5"/>
      <c r="K70" s="5" t="s">
        <v>68</v>
      </c>
      <c r="L70" s="5" t="s">
        <v>42</v>
      </c>
      <c r="M70" s="5" t="s">
        <v>43</v>
      </c>
      <c r="N70" s="5" t="n">
        <v>5</v>
      </c>
      <c r="O70" s="6" t="b">
        <f aca="false">TRUE()</f>
        <v>1</v>
      </c>
      <c r="P70" s="5" t="s">
        <v>537</v>
      </c>
      <c r="Q70" s="5" t="s">
        <v>538</v>
      </c>
      <c r="R70" s="5" t="s">
        <v>539</v>
      </c>
      <c r="S70" s="5" t="s">
        <v>540</v>
      </c>
    </row>
    <row r="71" customFormat="false" ht="79.85" hidden="false" customHeight="false" outlineLevel="0" collapsed="false">
      <c r="A71" s="5" t="n">
        <v>70</v>
      </c>
      <c r="B71" s="6" t="b">
        <f aca="false">FALSE()</f>
        <v>0</v>
      </c>
      <c r="C71" s="7"/>
      <c r="D71" s="7"/>
      <c r="E71" s="7"/>
      <c r="F71" s="5" t="s">
        <v>541</v>
      </c>
      <c r="G71" s="5" t="s">
        <v>542</v>
      </c>
      <c r="H71" s="5" t="s">
        <v>543</v>
      </c>
      <c r="I71" s="6" t="b">
        <f aca="false">TRUE()</f>
        <v>1</v>
      </c>
      <c r="J71" s="5"/>
      <c r="K71" s="5" t="s">
        <v>68</v>
      </c>
      <c r="L71" s="5" t="s">
        <v>42</v>
      </c>
      <c r="M71" s="5" t="s">
        <v>43</v>
      </c>
      <c r="N71" s="5" t="n">
        <v>5</v>
      </c>
      <c r="O71" s="6" t="b">
        <f aca="false">TRUE()</f>
        <v>1</v>
      </c>
      <c r="P71" s="5" t="s">
        <v>544</v>
      </c>
      <c r="Q71" s="5" t="s">
        <v>545</v>
      </c>
      <c r="R71" s="5" t="s">
        <v>546</v>
      </c>
      <c r="S71" s="5" t="s">
        <v>547</v>
      </c>
    </row>
    <row r="72" customFormat="false" ht="79.85" hidden="false" customHeight="false" outlineLevel="0" collapsed="false">
      <c r="A72" s="5" t="n">
        <v>71</v>
      </c>
      <c r="B72" s="6" t="b">
        <f aca="false">FALSE()</f>
        <v>0</v>
      </c>
      <c r="C72" s="7"/>
      <c r="D72" s="7"/>
      <c r="E72" s="7"/>
      <c r="F72" s="5" t="s">
        <v>548</v>
      </c>
      <c r="G72" s="5" t="s">
        <v>549</v>
      </c>
      <c r="H72" s="5" t="s">
        <v>550</v>
      </c>
      <c r="I72" s="6" t="b">
        <f aca="false">TRUE()</f>
        <v>1</v>
      </c>
      <c r="J72" s="5"/>
      <c r="K72" s="5" t="s">
        <v>68</v>
      </c>
      <c r="L72" s="5" t="s">
        <v>52</v>
      </c>
      <c r="M72" s="5" t="s">
        <v>106</v>
      </c>
      <c r="N72" s="5" t="n">
        <v>5</v>
      </c>
      <c r="O72" s="6" t="b">
        <f aca="false">TRUE()</f>
        <v>1</v>
      </c>
      <c r="P72" s="5" t="s">
        <v>551</v>
      </c>
      <c r="Q72" s="5" t="s">
        <v>552</v>
      </c>
      <c r="R72" s="5" t="s">
        <v>553</v>
      </c>
      <c r="S72" s="5" t="s">
        <v>554</v>
      </c>
    </row>
    <row r="73" customFormat="false" ht="68.65" hidden="false" customHeight="false" outlineLevel="0" collapsed="false">
      <c r="A73" s="5" t="n">
        <v>72</v>
      </c>
      <c r="B73" s="6" t="b">
        <f aca="false">FALSE()</f>
        <v>0</v>
      </c>
      <c r="C73" s="7"/>
      <c r="D73" s="7"/>
      <c r="E73" s="7"/>
      <c r="F73" s="5" t="s">
        <v>555</v>
      </c>
      <c r="G73" s="5" t="s">
        <v>556</v>
      </c>
      <c r="H73" s="5" t="s">
        <v>557</v>
      </c>
      <c r="I73" s="6" t="b">
        <f aca="false">TRUE()</f>
        <v>1</v>
      </c>
      <c r="J73" s="5"/>
      <c r="K73" s="5" t="s">
        <v>41</v>
      </c>
      <c r="L73" s="5" t="s">
        <v>42</v>
      </c>
      <c r="M73" s="5" t="s">
        <v>43</v>
      </c>
      <c r="N73" s="5" t="n">
        <v>5</v>
      </c>
      <c r="O73" s="6" t="b">
        <f aca="false">TRUE()</f>
        <v>1</v>
      </c>
      <c r="P73" s="5" t="s">
        <v>558</v>
      </c>
      <c r="Q73" s="5" t="s">
        <v>559</v>
      </c>
      <c r="R73" s="5" t="s">
        <v>560</v>
      </c>
      <c r="S73" s="5" t="s">
        <v>561</v>
      </c>
    </row>
    <row r="74" customFormat="false" ht="57.45" hidden="false" customHeight="false" outlineLevel="0" collapsed="false">
      <c r="A74" s="5" t="n">
        <v>73</v>
      </c>
      <c r="B74" s="6" t="b">
        <f aca="false">FALSE()</f>
        <v>0</v>
      </c>
      <c r="C74" s="7"/>
      <c r="D74" s="7"/>
      <c r="E74" s="7"/>
      <c r="F74" s="5" t="s">
        <v>562</v>
      </c>
      <c r="G74" s="5" t="s">
        <v>563</v>
      </c>
      <c r="H74" s="5" t="s">
        <v>564</v>
      </c>
      <c r="I74" s="6" t="b">
        <f aca="false">TRUE()</f>
        <v>1</v>
      </c>
      <c r="J74" s="5"/>
      <c r="K74" s="5" t="s">
        <v>41</v>
      </c>
      <c r="L74" s="5" t="s">
        <v>42</v>
      </c>
      <c r="M74" s="5" t="s">
        <v>98</v>
      </c>
      <c r="N74" s="5" t="n">
        <v>5</v>
      </c>
      <c r="O74" s="6" t="b">
        <f aca="false">TRUE()</f>
        <v>1</v>
      </c>
      <c r="P74" s="5" t="s">
        <v>565</v>
      </c>
      <c r="Q74" s="5" t="s">
        <v>566</v>
      </c>
      <c r="R74" s="5" t="s">
        <v>567</v>
      </c>
      <c r="S74" s="5" t="s">
        <v>568</v>
      </c>
    </row>
    <row r="75" customFormat="false" ht="68.65" hidden="false" customHeight="false" outlineLevel="0" collapsed="false">
      <c r="A75" s="5" t="n">
        <v>74</v>
      </c>
      <c r="B75" s="6" t="b">
        <f aca="false">FALSE()</f>
        <v>0</v>
      </c>
      <c r="C75" s="7"/>
      <c r="D75" s="7"/>
      <c r="E75" s="7"/>
      <c r="F75" s="5" t="s">
        <v>569</v>
      </c>
      <c r="G75" s="5" t="s">
        <v>570</v>
      </c>
      <c r="H75" s="5" t="s">
        <v>571</v>
      </c>
      <c r="I75" s="6" t="b">
        <f aca="false">TRUE()</f>
        <v>1</v>
      </c>
      <c r="J75" s="5"/>
      <c r="K75" s="5" t="s">
        <v>51</v>
      </c>
      <c r="L75" s="5" t="s">
        <v>52</v>
      </c>
      <c r="M75" s="5" t="s">
        <v>98</v>
      </c>
      <c r="N75" s="5" t="n">
        <v>5</v>
      </c>
      <c r="O75" s="6" t="b">
        <f aca="false">TRUE()</f>
        <v>1</v>
      </c>
      <c r="P75" s="5" t="s">
        <v>572</v>
      </c>
      <c r="Q75" s="5" t="s">
        <v>573</v>
      </c>
      <c r="R75" s="5" t="s">
        <v>574</v>
      </c>
      <c r="S75" s="5" t="s">
        <v>575</v>
      </c>
    </row>
    <row r="76" customFormat="false" ht="68.65" hidden="false" customHeight="false" outlineLevel="0" collapsed="false">
      <c r="A76" s="5" t="n">
        <v>75</v>
      </c>
      <c r="B76" s="6" t="b">
        <f aca="false">FALSE()</f>
        <v>0</v>
      </c>
      <c r="C76" s="7"/>
      <c r="D76" s="7"/>
      <c r="E76" s="7"/>
      <c r="F76" s="5" t="s">
        <v>576</v>
      </c>
      <c r="G76" s="5" t="s">
        <v>577</v>
      </c>
      <c r="H76" s="5" t="s">
        <v>578</v>
      </c>
      <c r="I76" s="6" t="b">
        <f aca="false">TRUE()</f>
        <v>1</v>
      </c>
      <c r="J76" s="5"/>
      <c r="K76" s="5" t="s">
        <v>68</v>
      </c>
      <c r="L76" s="5" t="s">
        <v>52</v>
      </c>
      <c r="M76" s="5" t="s">
        <v>43</v>
      </c>
      <c r="N76" s="5" t="n">
        <v>5</v>
      </c>
      <c r="O76" s="6" t="b">
        <f aca="false">TRUE()</f>
        <v>1</v>
      </c>
      <c r="P76" s="5" t="s">
        <v>579</v>
      </c>
      <c r="Q76" s="5" t="s">
        <v>580</v>
      </c>
      <c r="R76" s="5" t="s">
        <v>581</v>
      </c>
      <c r="S76" s="5" t="s">
        <v>582</v>
      </c>
    </row>
    <row r="77" customFormat="false" ht="102.2" hidden="false" customHeight="false" outlineLevel="0" collapsed="false">
      <c r="A77" s="5" t="n">
        <v>76</v>
      </c>
      <c r="B77" s="6" t="b">
        <f aca="false">FALSE()</f>
        <v>0</v>
      </c>
      <c r="C77" s="7"/>
      <c r="D77" s="7"/>
      <c r="E77" s="7"/>
      <c r="F77" s="5" t="s">
        <v>583</v>
      </c>
      <c r="G77" s="5" t="s">
        <v>584</v>
      </c>
      <c r="H77" s="5" t="s">
        <v>585</v>
      </c>
      <c r="I77" s="6" t="b">
        <f aca="false">TRUE()</f>
        <v>1</v>
      </c>
      <c r="J77" s="5"/>
      <c r="K77" s="5" t="s">
        <v>186</v>
      </c>
      <c r="L77" s="5" t="s">
        <v>187</v>
      </c>
      <c r="M77" s="5" t="s">
        <v>98</v>
      </c>
      <c r="N77" s="5" t="n">
        <v>5</v>
      </c>
      <c r="O77" s="6" t="b">
        <f aca="false">TRUE()</f>
        <v>1</v>
      </c>
      <c r="P77" s="5" t="s">
        <v>586</v>
      </c>
      <c r="Q77" s="5" t="s">
        <v>587</v>
      </c>
      <c r="R77" s="5" t="s">
        <v>588</v>
      </c>
      <c r="S77" s="5" t="s">
        <v>589</v>
      </c>
    </row>
    <row r="78" customFormat="false" ht="57.45" hidden="false" customHeight="false" outlineLevel="0" collapsed="false">
      <c r="A78" s="5" t="n">
        <v>77</v>
      </c>
      <c r="B78" s="6" t="b">
        <f aca="false">FALSE()</f>
        <v>0</v>
      </c>
      <c r="C78" s="7"/>
      <c r="D78" s="7"/>
      <c r="E78" s="7"/>
      <c r="F78" s="5" t="s">
        <v>590</v>
      </c>
      <c r="G78" s="5" t="s">
        <v>591</v>
      </c>
      <c r="H78" s="5" t="s">
        <v>592</v>
      </c>
      <c r="I78" s="6" t="b">
        <f aca="false">TRUE()</f>
        <v>1</v>
      </c>
      <c r="J78" s="5"/>
      <c r="K78" s="5" t="s">
        <v>41</v>
      </c>
      <c r="L78" s="5" t="s">
        <v>42</v>
      </c>
      <c r="M78" s="5" t="s">
        <v>106</v>
      </c>
      <c r="N78" s="5" t="n">
        <v>5</v>
      </c>
      <c r="O78" s="6" t="b">
        <f aca="false">TRUE()</f>
        <v>1</v>
      </c>
      <c r="P78" s="5" t="s">
        <v>593</v>
      </c>
      <c r="Q78" s="5" t="s">
        <v>594</v>
      </c>
      <c r="R78" s="5" t="s">
        <v>595</v>
      </c>
      <c r="S78" s="5" t="s">
        <v>596</v>
      </c>
    </row>
    <row r="79" customFormat="false" ht="91" hidden="false" customHeight="false" outlineLevel="0" collapsed="false">
      <c r="A79" s="5" t="n">
        <v>78</v>
      </c>
      <c r="B79" s="6" t="b">
        <f aca="false">FALSE()</f>
        <v>0</v>
      </c>
      <c r="C79" s="7"/>
      <c r="D79" s="7"/>
      <c r="E79" s="7"/>
      <c r="F79" s="5" t="s">
        <v>597</v>
      </c>
      <c r="G79" s="5" t="s">
        <v>598</v>
      </c>
      <c r="H79" s="5" t="s">
        <v>599</v>
      </c>
      <c r="I79" s="6" t="b">
        <f aca="false">TRUE()</f>
        <v>1</v>
      </c>
      <c r="J79" s="5"/>
      <c r="K79" s="5" t="s">
        <v>41</v>
      </c>
      <c r="L79" s="5" t="s">
        <v>52</v>
      </c>
      <c r="M79" s="5" t="s">
        <v>53</v>
      </c>
      <c r="N79" s="5" t="n">
        <v>5</v>
      </c>
      <c r="O79" s="6" t="b">
        <f aca="false">TRUE()</f>
        <v>1</v>
      </c>
      <c r="P79" s="5" t="s">
        <v>600</v>
      </c>
      <c r="Q79" s="5" t="s">
        <v>601</v>
      </c>
      <c r="R79" s="5" t="s">
        <v>602</v>
      </c>
      <c r="S79" s="5" t="s">
        <v>603</v>
      </c>
    </row>
    <row r="80" customFormat="false" ht="57.45" hidden="false" customHeight="false" outlineLevel="0" collapsed="false">
      <c r="A80" s="5" t="n">
        <v>79</v>
      </c>
      <c r="B80" s="6" t="b">
        <f aca="false">FALSE()</f>
        <v>0</v>
      </c>
      <c r="C80" s="7"/>
      <c r="D80" s="7"/>
      <c r="E80" s="7"/>
      <c r="F80" s="5" t="s">
        <v>604</v>
      </c>
      <c r="G80" s="5" t="s">
        <v>605</v>
      </c>
      <c r="H80" s="5" t="s">
        <v>606</v>
      </c>
      <c r="I80" s="6" t="b">
        <f aca="false">TRUE()</f>
        <v>1</v>
      </c>
      <c r="J80" s="5"/>
      <c r="K80" s="5" t="s">
        <v>68</v>
      </c>
      <c r="L80" s="5" t="s">
        <v>42</v>
      </c>
      <c r="M80" s="5" t="s">
        <v>43</v>
      </c>
      <c r="N80" s="5" t="n">
        <v>5</v>
      </c>
      <c r="O80" s="6" t="b">
        <f aca="false">TRUE()</f>
        <v>1</v>
      </c>
      <c r="P80" s="5" t="s">
        <v>607</v>
      </c>
      <c r="Q80" s="5" t="s">
        <v>608</v>
      </c>
      <c r="R80" s="5" t="s">
        <v>609</v>
      </c>
      <c r="S80" s="5" t="s">
        <v>610</v>
      </c>
    </row>
    <row r="81" customFormat="false" ht="68.65" hidden="false" customHeight="false" outlineLevel="0" collapsed="false">
      <c r="A81" s="5" t="n">
        <v>80</v>
      </c>
      <c r="B81" s="6" t="b">
        <f aca="false">FALSE()</f>
        <v>0</v>
      </c>
      <c r="C81" s="7"/>
      <c r="D81" s="7"/>
      <c r="E81" s="7"/>
      <c r="F81" s="5" t="s">
        <v>611</v>
      </c>
      <c r="G81" s="5" t="s">
        <v>612</v>
      </c>
      <c r="H81" s="5" t="s">
        <v>613</v>
      </c>
      <c r="I81" s="6" t="b">
        <f aca="false">TRUE()</f>
        <v>1</v>
      </c>
      <c r="J81" s="5"/>
      <c r="K81" s="5" t="s">
        <v>41</v>
      </c>
      <c r="L81" s="5" t="s">
        <v>42</v>
      </c>
      <c r="M81" s="5" t="s">
        <v>149</v>
      </c>
      <c r="N81" s="5" t="n">
        <v>4</v>
      </c>
      <c r="O81" s="6" t="b">
        <f aca="false">TRUE()</f>
        <v>1</v>
      </c>
      <c r="P81" s="5" t="s">
        <v>614</v>
      </c>
      <c r="Q81" s="5" t="s">
        <v>615</v>
      </c>
      <c r="R81" s="5" t="s">
        <v>616</v>
      </c>
      <c r="S81" s="5" t="s">
        <v>617</v>
      </c>
    </row>
    <row r="82" customFormat="false" ht="79.85" hidden="false" customHeight="false" outlineLevel="0" collapsed="false">
      <c r="A82" s="5" t="n">
        <v>81</v>
      </c>
      <c r="B82" s="6" t="b">
        <f aca="false">FALSE()</f>
        <v>0</v>
      </c>
      <c r="C82" s="7"/>
      <c r="D82" s="7"/>
      <c r="E82" s="7"/>
      <c r="F82" s="5" t="s">
        <v>618</v>
      </c>
      <c r="G82" s="5" t="s">
        <v>619</v>
      </c>
      <c r="H82" s="5" t="s">
        <v>620</v>
      </c>
      <c r="I82" s="6" t="b">
        <f aca="false">TRUE()</f>
        <v>1</v>
      </c>
      <c r="J82" s="5"/>
      <c r="K82" s="5" t="s">
        <v>51</v>
      </c>
      <c r="L82" s="5" t="s">
        <v>52</v>
      </c>
      <c r="M82" s="5" t="s">
        <v>43</v>
      </c>
      <c r="N82" s="5" t="n">
        <v>4</v>
      </c>
      <c r="O82" s="6" t="b">
        <f aca="false">TRUE()</f>
        <v>1</v>
      </c>
      <c r="P82" s="5" t="s">
        <v>621</v>
      </c>
      <c r="Q82" s="5" t="s">
        <v>622</v>
      </c>
      <c r="R82" s="5" t="s">
        <v>623</v>
      </c>
      <c r="S82" s="5" t="s">
        <v>624</v>
      </c>
    </row>
    <row r="83" customFormat="false" ht="68.65" hidden="false" customHeight="false" outlineLevel="0" collapsed="false">
      <c r="A83" s="5" t="n">
        <v>82</v>
      </c>
      <c r="B83" s="6" t="b">
        <f aca="false">FALSE()</f>
        <v>0</v>
      </c>
      <c r="C83" s="7"/>
      <c r="D83" s="7"/>
      <c r="E83" s="7"/>
      <c r="F83" s="5" t="s">
        <v>625</v>
      </c>
      <c r="G83" s="5" t="s">
        <v>626</v>
      </c>
      <c r="H83" s="5" t="s">
        <v>627</v>
      </c>
      <c r="I83" s="6" t="b">
        <f aca="false">TRUE()</f>
        <v>1</v>
      </c>
      <c r="J83" s="5"/>
      <c r="K83" s="5" t="s">
        <v>41</v>
      </c>
      <c r="L83" s="5" t="s">
        <v>42</v>
      </c>
      <c r="M83" s="5" t="s">
        <v>43</v>
      </c>
      <c r="N83" s="5" t="n">
        <v>5</v>
      </c>
      <c r="O83" s="6" t="b">
        <f aca="false">TRUE()</f>
        <v>1</v>
      </c>
      <c r="P83" s="5" t="s">
        <v>628</v>
      </c>
      <c r="Q83" s="5" t="s">
        <v>629</v>
      </c>
      <c r="R83" s="5" t="s">
        <v>630</v>
      </c>
      <c r="S83" s="5" t="s">
        <v>631</v>
      </c>
    </row>
    <row r="84" customFormat="false" ht="79.85" hidden="false" customHeight="false" outlineLevel="0" collapsed="false">
      <c r="A84" s="5" t="n">
        <v>83</v>
      </c>
      <c r="B84" s="6" t="b">
        <f aca="false">FALSE()</f>
        <v>0</v>
      </c>
      <c r="C84" s="7"/>
      <c r="D84" s="7"/>
      <c r="E84" s="7"/>
      <c r="F84" s="5" t="s">
        <v>632</v>
      </c>
      <c r="G84" s="5" t="s">
        <v>633</v>
      </c>
      <c r="H84" s="5" t="s">
        <v>634</v>
      </c>
      <c r="I84" s="6" t="b">
        <f aca="false">TRUE()</f>
        <v>1</v>
      </c>
      <c r="J84" s="5"/>
      <c r="K84" s="5" t="s">
        <v>41</v>
      </c>
      <c r="L84" s="5" t="s">
        <v>42</v>
      </c>
      <c r="M84" s="5" t="s">
        <v>98</v>
      </c>
      <c r="N84" s="5" t="n">
        <v>5</v>
      </c>
      <c r="O84" s="6" t="b">
        <f aca="false">TRUE()</f>
        <v>1</v>
      </c>
      <c r="P84" s="5" t="s">
        <v>635</v>
      </c>
      <c r="Q84" s="5" t="s">
        <v>636</v>
      </c>
      <c r="R84" s="5" t="s">
        <v>637</v>
      </c>
      <c r="S84" s="5" t="s">
        <v>638</v>
      </c>
    </row>
    <row r="85" customFormat="false" ht="57.45" hidden="false" customHeight="false" outlineLevel="0" collapsed="false">
      <c r="A85" s="5" t="n">
        <v>84</v>
      </c>
      <c r="B85" s="6" t="b">
        <f aca="false">FALSE()</f>
        <v>0</v>
      </c>
      <c r="C85" s="7"/>
      <c r="D85" s="7"/>
      <c r="E85" s="7"/>
      <c r="F85" s="5" t="s">
        <v>639</v>
      </c>
      <c r="G85" s="5" t="s">
        <v>640</v>
      </c>
      <c r="H85" s="5" t="s">
        <v>641</v>
      </c>
      <c r="I85" s="6" t="b">
        <f aca="false">TRUE()</f>
        <v>1</v>
      </c>
      <c r="J85" s="5"/>
      <c r="K85" s="5" t="s">
        <v>186</v>
      </c>
      <c r="L85" s="5" t="s">
        <v>52</v>
      </c>
      <c r="M85" s="5" t="s">
        <v>157</v>
      </c>
      <c r="N85" s="5" t="n">
        <v>4</v>
      </c>
      <c r="O85" s="6" t="b">
        <f aca="false">TRUE()</f>
        <v>1</v>
      </c>
      <c r="P85" s="5" t="s">
        <v>642</v>
      </c>
      <c r="Q85" s="5" t="s">
        <v>643</v>
      </c>
      <c r="R85" s="5" t="s">
        <v>644</v>
      </c>
      <c r="S85" s="5" t="s">
        <v>645</v>
      </c>
    </row>
    <row r="86" customFormat="false" ht="57.45" hidden="false" customHeight="false" outlineLevel="0" collapsed="false">
      <c r="A86" s="5" t="n">
        <v>85</v>
      </c>
      <c r="B86" s="6" t="b">
        <f aca="false">FALSE()</f>
        <v>0</v>
      </c>
      <c r="C86" s="7"/>
      <c r="D86" s="7"/>
      <c r="E86" s="7"/>
      <c r="F86" s="5" t="s">
        <v>646</v>
      </c>
      <c r="G86" s="5" t="s">
        <v>647</v>
      </c>
      <c r="H86" s="5" t="s">
        <v>648</v>
      </c>
      <c r="I86" s="6" t="b">
        <f aca="false">TRUE()</f>
        <v>1</v>
      </c>
      <c r="J86" s="5"/>
      <c r="K86" s="5" t="s">
        <v>51</v>
      </c>
      <c r="L86" s="5" t="s">
        <v>52</v>
      </c>
      <c r="M86" s="5" t="s">
        <v>149</v>
      </c>
      <c r="N86" s="5" t="n">
        <v>4</v>
      </c>
      <c r="O86" s="6" t="b">
        <f aca="false">TRUE()</f>
        <v>1</v>
      </c>
      <c r="P86" s="5" t="s">
        <v>649</v>
      </c>
      <c r="Q86" s="5" t="s">
        <v>650</v>
      </c>
      <c r="R86" s="5" t="s">
        <v>651</v>
      </c>
      <c r="S86" s="5" t="s">
        <v>652</v>
      </c>
    </row>
    <row r="87" customFormat="false" ht="57.45" hidden="false" customHeight="false" outlineLevel="0" collapsed="false">
      <c r="A87" s="5" t="n">
        <v>86</v>
      </c>
      <c r="B87" s="6" t="b">
        <f aca="false">FALSE()</f>
        <v>0</v>
      </c>
      <c r="C87" s="7"/>
      <c r="D87" s="7"/>
      <c r="E87" s="7"/>
      <c r="F87" s="5" t="s">
        <v>653</v>
      </c>
      <c r="G87" s="5" t="s">
        <v>654</v>
      </c>
      <c r="H87" s="5" t="s">
        <v>655</v>
      </c>
      <c r="I87" s="6" t="b">
        <f aca="false">TRUE()</f>
        <v>1</v>
      </c>
      <c r="J87" s="5"/>
      <c r="K87" s="5" t="s">
        <v>51</v>
      </c>
      <c r="L87" s="5" t="s">
        <v>52</v>
      </c>
      <c r="M87" s="5" t="s">
        <v>98</v>
      </c>
      <c r="N87" s="5" t="n">
        <v>5</v>
      </c>
      <c r="O87" s="6" t="b">
        <f aca="false">TRUE()</f>
        <v>1</v>
      </c>
      <c r="P87" s="5" t="s">
        <v>656</v>
      </c>
      <c r="Q87" s="5" t="s">
        <v>657</v>
      </c>
      <c r="R87" s="5" t="s">
        <v>658</v>
      </c>
      <c r="S87" s="5" t="s">
        <v>659</v>
      </c>
    </row>
    <row r="88" customFormat="false" ht="46.25" hidden="false" customHeight="false" outlineLevel="0" collapsed="false">
      <c r="A88" s="5" t="n">
        <v>87</v>
      </c>
      <c r="B88" s="6" t="b">
        <f aca="false">FALSE()</f>
        <v>0</v>
      </c>
      <c r="C88" s="7"/>
      <c r="D88" s="7"/>
      <c r="E88" s="7"/>
      <c r="F88" s="5" t="s">
        <v>660</v>
      </c>
      <c r="G88" s="5" t="s">
        <v>661</v>
      </c>
      <c r="H88" s="5" t="s">
        <v>662</v>
      </c>
      <c r="I88" s="6" t="b">
        <f aca="false">TRUE()</f>
        <v>1</v>
      </c>
      <c r="J88" s="5"/>
      <c r="K88" s="5" t="s">
        <v>41</v>
      </c>
      <c r="L88" s="5" t="s">
        <v>42</v>
      </c>
      <c r="M88" s="5" t="s">
        <v>149</v>
      </c>
      <c r="N88" s="5" t="n">
        <v>5</v>
      </c>
      <c r="O88" s="6" t="b">
        <f aca="false">TRUE()</f>
        <v>1</v>
      </c>
      <c r="P88" s="5" t="s">
        <v>663</v>
      </c>
      <c r="Q88" s="5" t="s">
        <v>664</v>
      </c>
      <c r="R88" s="5" t="s">
        <v>665</v>
      </c>
      <c r="S88" s="5" t="s">
        <v>666</v>
      </c>
    </row>
    <row r="89" customFormat="false" ht="68.65" hidden="false" customHeight="false" outlineLevel="0" collapsed="false">
      <c r="A89" s="5" t="n">
        <v>88</v>
      </c>
      <c r="B89" s="6" t="b">
        <f aca="false">FALSE()</f>
        <v>0</v>
      </c>
      <c r="C89" s="7"/>
      <c r="D89" s="7"/>
      <c r="E89" s="7"/>
      <c r="F89" s="5" t="s">
        <v>667</v>
      </c>
      <c r="G89" s="5" t="s">
        <v>668</v>
      </c>
      <c r="H89" s="5" t="s">
        <v>669</v>
      </c>
      <c r="I89" s="6" t="b">
        <f aca="false">TRUE()</f>
        <v>1</v>
      </c>
      <c r="J89" s="5"/>
      <c r="K89" s="5" t="s">
        <v>51</v>
      </c>
      <c r="L89" s="5" t="s">
        <v>52</v>
      </c>
      <c r="M89" s="5" t="s">
        <v>98</v>
      </c>
      <c r="N89" s="5" t="n">
        <v>4</v>
      </c>
      <c r="O89" s="6" t="b">
        <f aca="false">TRUE()</f>
        <v>1</v>
      </c>
      <c r="P89" s="5" t="s">
        <v>670</v>
      </c>
      <c r="Q89" s="5" t="s">
        <v>671</v>
      </c>
      <c r="R89" s="5" t="s">
        <v>672</v>
      </c>
      <c r="S89" s="5" t="s">
        <v>673</v>
      </c>
    </row>
    <row r="90" customFormat="false" ht="57.45" hidden="false" customHeight="false" outlineLevel="0" collapsed="false">
      <c r="A90" s="5" t="n">
        <v>89</v>
      </c>
      <c r="B90" s="6" t="b">
        <f aca="false">FALSE()</f>
        <v>0</v>
      </c>
      <c r="C90" s="7"/>
      <c r="D90" s="7"/>
      <c r="E90" s="7"/>
      <c r="F90" s="5" t="s">
        <v>674</v>
      </c>
      <c r="G90" s="5" t="s">
        <v>675</v>
      </c>
      <c r="H90" s="5" t="s">
        <v>676</v>
      </c>
      <c r="I90" s="6" t="b">
        <f aca="false">FALSE()</f>
        <v>0</v>
      </c>
      <c r="J90" s="5" t="s">
        <v>228</v>
      </c>
      <c r="K90" s="5" t="s">
        <v>41</v>
      </c>
      <c r="L90" s="5" t="s">
        <v>42</v>
      </c>
      <c r="M90" s="5" t="s">
        <v>243</v>
      </c>
      <c r="N90" s="5" t="n">
        <v>3</v>
      </c>
      <c r="O90" s="6" t="b">
        <f aca="false">TRUE()</f>
        <v>1</v>
      </c>
      <c r="P90" s="5" t="s">
        <v>677</v>
      </c>
      <c r="Q90" s="5" t="s">
        <v>678</v>
      </c>
      <c r="R90" s="5" t="s">
        <v>679</v>
      </c>
      <c r="S90" s="5" t="s">
        <v>680</v>
      </c>
    </row>
    <row r="91" customFormat="false" ht="68.65" hidden="false" customHeight="false" outlineLevel="0" collapsed="false">
      <c r="A91" s="5" t="n">
        <v>90</v>
      </c>
      <c r="B91" s="6" t="b">
        <f aca="false">FALSE()</f>
        <v>0</v>
      </c>
      <c r="C91" s="7"/>
      <c r="D91" s="7"/>
      <c r="E91" s="7"/>
      <c r="F91" s="5" t="s">
        <v>681</v>
      </c>
      <c r="G91" s="5" t="s">
        <v>682</v>
      </c>
      <c r="H91" s="5" t="s">
        <v>683</v>
      </c>
      <c r="I91" s="6" t="b">
        <f aca="false">FALSE()</f>
        <v>0</v>
      </c>
      <c r="J91" s="5" t="s">
        <v>228</v>
      </c>
      <c r="K91" s="5" t="s">
        <v>41</v>
      </c>
      <c r="L91" s="5" t="s">
        <v>52</v>
      </c>
      <c r="M91" s="5" t="s">
        <v>43</v>
      </c>
      <c r="N91" s="5" t="n">
        <v>3</v>
      </c>
      <c r="O91" s="6" t="b">
        <f aca="false">TRUE()</f>
        <v>1</v>
      </c>
      <c r="P91" s="5" t="s">
        <v>684</v>
      </c>
      <c r="Q91" s="5" t="s">
        <v>685</v>
      </c>
      <c r="R91" s="5" t="s">
        <v>686</v>
      </c>
      <c r="S91" s="5" t="s">
        <v>687</v>
      </c>
    </row>
    <row r="92" customFormat="false" ht="135.8" hidden="false" customHeight="false" outlineLevel="0" collapsed="false">
      <c r="A92" s="5" t="n">
        <v>91</v>
      </c>
      <c r="B92" s="6" t="b">
        <f aca="false">FALSE()</f>
        <v>0</v>
      </c>
      <c r="C92" s="7"/>
      <c r="D92" s="7"/>
      <c r="E92" s="7"/>
      <c r="F92" s="5" t="s">
        <v>688</v>
      </c>
      <c r="G92" s="5" t="s">
        <v>689</v>
      </c>
      <c r="H92" s="5" t="s">
        <v>690</v>
      </c>
      <c r="I92" s="6" t="b">
        <f aca="false">FALSE()</f>
        <v>0</v>
      </c>
      <c r="J92" s="5" t="s">
        <v>228</v>
      </c>
      <c r="K92" s="5" t="s">
        <v>51</v>
      </c>
      <c r="L92" s="5" t="s">
        <v>187</v>
      </c>
      <c r="M92" s="5" t="s">
        <v>90</v>
      </c>
      <c r="N92" s="5" t="n">
        <v>3</v>
      </c>
      <c r="O92" s="6" t="b">
        <f aca="false">TRUE()</f>
        <v>1</v>
      </c>
      <c r="P92" s="5" t="s">
        <v>691</v>
      </c>
      <c r="Q92" s="5" t="s">
        <v>692</v>
      </c>
      <c r="R92" s="5" t="s">
        <v>693</v>
      </c>
      <c r="S92" s="5" t="s">
        <v>694</v>
      </c>
    </row>
    <row r="93" customFormat="false" ht="57.45" hidden="false" customHeight="false" outlineLevel="0" collapsed="false">
      <c r="A93" s="5" t="n">
        <v>92</v>
      </c>
      <c r="B93" s="6" t="b">
        <f aca="false">FALSE()</f>
        <v>0</v>
      </c>
      <c r="C93" s="7"/>
      <c r="D93" s="7"/>
      <c r="E93" s="7"/>
      <c r="F93" s="5" t="s">
        <v>695</v>
      </c>
      <c r="G93" s="5" t="s">
        <v>696</v>
      </c>
      <c r="H93" s="5" t="s">
        <v>697</v>
      </c>
      <c r="I93" s="6" t="b">
        <f aca="false">FALSE()</f>
        <v>0</v>
      </c>
      <c r="J93" s="5" t="s">
        <v>228</v>
      </c>
      <c r="K93" s="5" t="s">
        <v>68</v>
      </c>
      <c r="L93" s="5" t="s">
        <v>42</v>
      </c>
      <c r="M93" s="5" t="s">
        <v>90</v>
      </c>
      <c r="N93" s="5" t="n">
        <v>3</v>
      </c>
      <c r="O93" s="6" t="b">
        <f aca="false">TRUE()</f>
        <v>1</v>
      </c>
      <c r="P93" s="5" t="s">
        <v>698</v>
      </c>
      <c r="Q93" s="5" t="s">
        <v>699</v>
      </c>
      <c r="R93" s="5" t="s">
        <v>700</v>
      </c>
      <c r="S93" s="5" t="s">
        <v>701</v>
      </c>
    </row>
    <row r="94" customFormat="false" ht="79.85" hidden="false" customHeight="false" outlineLevel="0" collapsed="false">
      <c r="A94" s="5" t="n">
        <v>93</v>
      </c>
      <c r="B94" s="6" t="b">
        <f aca="false">FALSE()</f>
        <v>0</v>
      </c>
      <c r="C94" s="7"/>
      <c r="D94" s="7"/>
      <c r="E94" s="7"/>
      <c r="F94" s="5" t="s">
        <v>702</v>
      </c>
      <c r="G94" s="5" t="s">
        <v>703</v>
      </c>
      <c r="H94" s="5" t="s">
        <v>704</v>
      </c>
      <c r="I94" s="6" t="b">
        <f aca="false">FALSE()</f>
        <v>0</v>
      </c>
      <c r="J94" s="5" t="s">
        <v>705</v>
      </c>
      <c r="K94" s="5" t="s">
        <v>51</v>
      </c>
      <c r="L94" s="5" t="s">
        <v>52</v>
      </c>
      <c r="M94" s="5" t="s">
        <v>106</v>
      </c>
      <c r="N94" s="5" t="n">
        <v>5</v>
      </c>
      <c r="O94" s="6" t="b">
        <f aca="false">TRUE()</f>
        <v>1</v>
      </c>
      <c r="P94" s="5" t="s">
        <v>706</v>
      </c>
      <c r="Q94" s="5" t="s">
        <v>707</v>
      </c>
      <c r="R94" s="5" t="s">
        <v>708</v>
      </c>
      <c r="S94" s="5" t="s">
        <v>709</v>
      </c>
    </row>
    <row r="95" customFormat="false" ht="79.85" hidden="false" customHeight="false" outlineLevel="0" collapsed="false">
      <c r="A95" s="5" t="n">
        <v>94</v>
      </c>
      <c r="B95" s="6" t="b">
        <f aca="false">FALSE()</f>
        <v>0</v>
      </c>
      <c r="C95" s="7"/>
      <c r="D95" s="7"/>
      <c r="E95" s="7"/>
      <c r="F95" s="5" t="s">
        <v>710</v>
      </c>
      <c r="G95" s="5" t="s">
        <v>711</v>
      </c>
      <c r="H95" s="5" t="s">
        <v>712</v>
      </c>
      <c r="I95" s="6" t="b">
        <f aca="false">FALSE()</f>
        <v>0</v>
      </c>
      <c r="J95" s="5" t="s">
        <v>251</v>
      </c>
      <c r="K95" s="5" t="s">
        <v>51</v>
      </c>
      <c r="L95" s="5" t="s">
        <v>52</v>
      </c>
      <c r="M95" s="5" t="s">
        <v>98</v>
      </c>
      <c r="N95" s="5" t="n">
        <v>4</v>
      </c>
      <c r="O95" s="6" t="b">
        <f aca="false">FALSE()</f>
        <v>0</v>
      </c>
      <c r="P95" s="5" t="s">
        <v>713</v>
      </c>
      <c r="Q95" s="5" t="s">
        <v>714</v>
      </c>
      <c r="R95" s="5" t="s">
        <v>715</v>
      </c>
      <c r="S95" s="5" t="s">
        <v>716</v>
      </c>
    </row>
    <row r="96" customFormat="false" ht="57.45" hidden="false" customHeight="false" outlineLevel="0" collapsed="false">
      <c r="A96" s="5" t="n">
        <v>95</v>
      </c>
      <c r="B96" s="6" t="b">
        <f aca="false">FALSE()</f>
        <v>0</v>
      </c>
      <c r="C96" s="7"/>
      <c r="D96" s="7"/>
      <c r="E96" s="7"/>
      <c r="F96" s="5" t="s">
        <v>717</v>
      </c>
      <c r="G96" s="5" t="s">
        <v>718</v>
      </c>
      <c r="H96" s="5" t="s">
        <v>719</v>
      </c>
      <c r="I96" s="6" t="b">
        <f aca="false">FALSE()</f>
        <v>0</v>
      </c>
      <c r="J96" s="5" t="s">
        <v>273</v>
      </c>
      <c r="K96" s="5" t="s">
        <v>41</v>
      </c>
      <c r="L96" s="5" t="s">
        <v>42</v>
      </c>
      <c r="M96" s="5" t="s">
        <v>98</v>
      </c>
      <c r="N96" s="5" t="n">
        <v>4</v>
      </c>
      <c r="O96" s="6" t="b">
        <f aca="false">TRUE()</f>
        <v>1</v>
      </c>
      <c r="P96" s="5" t="s">
        <v>720</v>
      </c>
      <c r="Q96" s="5" t="s">
        <v>721</v>
      </c>
      <c r="R96" s="5" t="s">
        <v>722</v>
      </c>
      <c r="S96" s="5" t="s">
        <v>723</v>
      </c>
    </row>
    <row r="97" customFormat="false" ht="102.2" hidden="false" customHeight="false" outlineLevel="0" collapsed="false">
      <c r="A97" s="5" t="n">
        <v>96</v>
      </c>
      <c r="B97" s="6" t="b">
        <f aca="false">FALSE()</f>
        <v>0</v>
      </c>
      <c r="C97" s="7"/>
      <c r="D97" s="7"/>
      <c r="E97" s="7"/>
      <c r="F97" s="5" t="s">
        <v>724</v>
      </c>
      <c r="G97" s="5" t="s">
        <v>725</v>
      </c>
      <c r="H97" s="5" t="s">
        <v>726</v>
      </c>
      <c r="I97" s="6" t="b">
        <f aca="false">FALSE()</f>
        <v>0</v>
      </c>
      <c r="J97" s="5" t="s">
        <v>251</v>
      </c>
      <c r="K97" s="5" t="s">
        <v>51</v>
      </c>
      <c r="L97" s="5" t="s">
        <v>52</v>
      </c>
      <c r="M97" s="5" t="s">
        <v>106</v>
      </c>
      <c r="N97" s="5" t="n">
        <v>5</v>
      </c>
      <c r="O97" s="6" t="b">
        <f aca="false">FALSE()</f>
        <v>0</v>
      </c>
      <c r="P97" s="5" t="s">
        <v>727</v>
      </c>
      <c r="Q97" s="5" t="s">
        <v>728</v>
      </c>
      <c r="R97" s="5" t="s">
        <v>729</v>
      </c>
      <c r="S97" s="5" t="s">
        <v>730</v>
      </c>
    </row>
    <row r="98" customFormat="false" ht="57.45" hidden="false" customHeight="false" outlineLevel="0" collapsed="false">
      <c r="A98" s="5" t="n">
        <v>97</v>
      </c>
      <c r="B98" s="6" t="b">
        <f aca="false">FALSE()</f>
        <v>0</v>
      </c>
      <c r="C98" s="7"/>
      <c r="D98" s="7"/>
      <c r="E98" s="7"/>
      <c r="F98" s="5" t="s">
        <v>731</v>
      </c>
      <c r="G98" s="5" t="s">
        <v>732</v>
      </c>
      <c r="H98" s="5" t="s">
        <v>733</v>
      </c>
      <c r="I98" s="6" t="b">
        <f aca="false">FALSE()</f>
        <v>0</v>
      </c>
      <c r="J98" s="5" t="s">
        <v>251</v>
      </c>
      <c r="K98" s="5" t="s">
        <v>186</v>
      </c>
      <c r="L98" s="5" t="s">
        <v>52</v>
      </c>
      <c r="M98" s="5" t="s">
        <v>53</v>
      </c>
      <c r="N98" s="5" t="n">
        <v>5</v>
      </c>
      <c r="O98" s="6" t="b">
        <f aca="false">FALSE()</f>
        <v>0</v>
      </c>
      <c r="P98" s="5" t="s">
        <v>734</v>
      </c>
      <c r="Q98" s="5" t="s">
        <v>735</v>
      </c>
      <c r="R98" s="5" t="s">
        <v>736</v>
      </c>
      <c r="S98" s="5" t="s">
        <v>737</v>
      </c>
    </row>
    <row r="99" customFormat="false" ht="46.25" hidden="false" customHeight="false" outlineLevel="0" collapsed="false">
      <c r="A99" s="5" t="n">
        <v>98</v>
      </c>
      <c r="B99" s="6" t="b">
        <f aca="false">FALSE()</f>
        <v>0</v>
      </c>
      <c r="C99" s="7"/>
      <c r="D99" s="7"/>
      <c r="E99" s="7"/>
      <c r="F99" s="5" t="s">
        <v>738</v>
      </c>
      <c r="G99" s="5" t="s">
        <v>739</v>
      </c>
      <c r="H99" s="5" t="s">
        <v>740</v>
      </c>
      <c r="I99" s="6" t="b">
        <f aca="false">FALSE()</f>
        <v>0</v>
      </c>
      <c r="J99" s="5" t="s">
        <v>273</v>
      </c>
      <c r="K99" s="5" t="s">
        <v>41</v>
      </c>
      <c r="L99" s="5" t="s">
        <v>42</v>
      </c>
      <c r="M99" s="5" t="s">
        <v>149</v>
      </c>
      <c r="N99" s="5" t="n">
        <v>5</v>
      </c>
      <c r="O99" s="6" t="b">
        <f aca="false">TRUE()</f>
        <v>1</v>
      </c>
      <c r="P99" s="5" t="s">
        <v>741</v>
      </c>
      <c r="Q99" s="5" t="s">
        <v>742</v>
      </c>
      <c r="R99" s="5" t="s">
        <v>743</v>
      </c>
      <c r="S99" s="5" t="s">
        <v>744</v>
      </c>
    </row>
    <row r="100" customFormat="false" ht="68.65" hidden="false" customHeight="false" outlineLevel="0" collapsed="false">
      <c r="A100" s="5" t="n">
        <v>99</v>
      </c>
      <c r="B100" s="6" t="b">
        <f aca="false">FALSE()</f>
        <v>0</v>
      </c>
      <c r="C100" s="7"/>
      <c r="D100" s="7"/>
      <c r="E100" s="7"/>
      <c r="F100" s="5" t="s">
        <v>745</v>
      </c>
      <c r="G100" s="5" t="s">
        <v>746</v>
      </c>
      <c r="H100" s="5" t="s">
        <v>747</v>
      </c>
      <c r="I100" s="6" t="b">
        <f aca="false">FALSE()</f>
        <v>0</v>
      </c>
      <c r="J100" s="5" t="s">
        <v>228</v>
      </c>
      <c r="K100" s="5" t="s">
        <v>186</v>
      </c>
      <c r="L100" s="5" t="s">
        <v>52</v>
      </c>
      <c r="M100" s="5" t="s">
        <v>98</v>
      </c>
      <c r="N100" s="5" t="n">
        <v>3</v>
      </c>
      <c r="O100" s="6" t="b">
        <f aca="false">TRUE()</f>
        <v>1</v>
      </c>
      <c r="P100" s="5" t="s">
        <v>748</v>
      </c>
      <c r="Q100" s="5" t="s">
        <v>749</v>
      </c>
      <c r="R100" s="5" t="s">
        <v>750</v>
      </c>
      <c r="S100" s="5" t="s">
        <v>751</v>
      </c>
    </row>
    <row r="101" customFormat="false" ht="35.05" hidden="false" customHeight="false" outlineLevel="0" collapsed="false">
      <c r="A101" s="5" t="n">
        <v>100</v>
      </c>
      <c r="B101" s="6" t="b">
        <f aca="false">FALSE()</f>
        <v>0</v>
      </c>
      <c r="C101" s="7"/>
      <c r="D101" s="7"/>
      <c r="E101" s="7"/>
      <c r="F101" s="5" t="s">
        <v>752</v>
      </c>
      <c r="G101" s="5" t="s">
        <v>753</v>
      </c>
      <c r="H101" s="5" t="s">
        <v>754</v>
      </c>
      <c r="I101" s="6" t="b">
        <f aca="false">FALSE()</f>
        <v>0</v>
      </c>
      <c r="J101" s="5" t="s">
        <v>273</v>
      </c>
      <c r="K101" s="5" t="s">
        <v>68</v>
      </c>
      <c r="L101" s="5" t="s">
        <v>42</v>
      </c>
      <c r="M101" s="5" t="s">
        <v>149</v>
      </c>
      <c r="N101" s="5" t="n">
        <v>5</v>
      </c>
      <c r="O101" s="6" t="b">
        <f aca="false">TRUE()</f>
        <v>1</v>
      </c>
      <c r="P101" s="5" t="s">
        <v>755</v>
      </c>
      <c r="Q101" s="5" t="s">
        <v>756</v>
      </c>
      <c r="R101" s="5" t="s">
        <v>757</v>
      </c>
      <c r="S101" s="5" t="s">
        <v>758</v>
      </c>
    </row>
  </sheetData>
  <autoFilter ref="A1:S101"/>
  <conditionalFormatting sqref="C2:C101">
    <cfRule type="expression" priority="2" aboveAverage="0" equalAverage="0" bottom="0" percent="0" rank="0" text="" dxfId="5">
      <formula>$C2="accept"</formula>
    </cfRule>
    <cfRule type="expression" priority="3" aboveAverage="0" equalAverage="0" bottom="0" percent="0" rank="0" text="" dxfId="6">
      <formula>$C2="reject"</formula>
    </cfRule>
  </conditionalFormatting>
  <conditionalFormatting sqref="A2:B101">
    <cfRule type="expression" priority="4" aboveAverage="0" equalAverage="0" bottom="0" percent="0" rank="0" text="" dxfId="7">
      <formula>$B2=1</formula>
    </cfRule>
  </conditionalFormatting>
  <dataValidations count="2">
    <dataValidation allowBlank="true" errorStyle="stop" operator="between" showDropDown="false" showErrorMessage="false" showInputMessage="false" sqref="C2:C101" type="list">
      <formula1>"accept,reject"</formula1>
      <formula2>0</formula2>
    </dataValidation>
    <dataValidation allowBlank="true" errorStyle="stop" operator="between" showDropDown="false" showErrorMessage="false" showInputMessage="false" sqref="D2:D101" type="list">
      <formula1>"incorrect,unsupported,not_standalone,low_value,unclear,other"</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8"/>
    <col collapsed="false" customWidth="true" hidden="false" outlineLevel="0" max="3" min="2" style="0" width="16"/>
  </cols>
  <sheetData>
    <row r="1" customFormat="false" ht="15" hidden="false" customHeight="false" outlineLevel="0" collapsed="false">
      <c r="A1" s="8" t="s">
        <v>759</v>
      </c>
    </row>
    <row r="2" customFormat="false" ht="15" hidden="false" customHeight="false" outlineLevel="0" collapsed="false">
      <c r="A2" s="9" t="s">
        <v>760</v>
      </c>
      <c r="B2" s="9" t="n">
        <f aca="false">COUNTIF(Review!$C$2:$C$101,"accept")+COUNTIF(Review!$C$2:$C$101,"reject")</f>
        <v>0</v>
      </c>
    </row>
    <row r="3" customFormat="false" ht="15" hidden="false" customHeight="false" outlineLevel="0" collapsed="false">
      <c r="A3" s="9" t="s">
        <v>761</v>
      </c>
      <c r="B3" s="9" t="n">
        <f aca="false">COUNTIFS(Review!$B$2:$B$101,TRUE(),Review!$C$2:$C$101,"accept")+COUNTIFS(Review!$B$2:$B$101,TRUE(),Review!$C$2:$C$101,"reject")</f>
        <v>0</v>
      </c>
    </row>
    <row r="4" customFormat="false" ht="15" hidden="false" customHeight="false" outlineLevel="0" collapsed="false">
      <c r="A4" s="9" t="s">
        <v>762</v>
      </c>
      <c r="B4" s="10" t="str">
        <f aca="false">IFERROR(COUNTIF(Review!$C$2:$C$101,"accept")/B2,"")</f>
        <v/>
      </c>
    </row>
    <row r="5" customFormat="false" ht="15" hidden="false" customHeight="false" outlineLevel="0" collapsed="false">
      <c r="A5" s="9" t="s">
        <v>763</v>
      </c>
      <c r="B5" s="10" t="str">
        <f aca="false">IFERROR(COUNTIFS(Review!$I$2:$I$101,TRUE(),Review!$C$2:$C$101,"accept")/(COUNTIFS(Review!$I$2:$I$101,TRUE(),Review!$C$2:$C$101,"accept")+COUNTIFS(Review!$I$2:$I$101,TRUE(),Review!$C$2:$C$101,"reject")),"")</f>
        <v/>
      </c>
    </row>
    <row r="6" customFormat="false" ht="15" hidden="false" customHeight="false" outlineLevel="0" collapsed="false">
      <c r="A6" s="9"/>
    </row>
    <row r="7" customFormat="false" ht="15" hidden="false" customHeight="false" outlineLevel="0" collapsed="false">
      <c r="A7" s="8" t="s">
        <v>764</v>
      </c>
    </row>
    <row r="8" customFormat="false" ht="15" hidden="false" customHeight="false" outlineLevel="0" collapsed="false">
      <c r="A8" s="9"/>
      <c r="B8" s="8" t="s">
        <v>765</v>
      </c>
      <c r="C8" s="8" t="s">
        <v>766</v>
      </c>
    </row>
    <row r="9" customFormat="false" ht="15" hidden="false" customHeight="false" outlineLevel="0" collapsed="false">
      <c r="A9" s="9" t="s">
        <v>767</v>
      </c>
      <c r="B9" s="9" t="n">
        <f aca="false">COUNTIFS(Review!$I$2:$I$101,TRUE(),Review!$C$2:$C$101,"accept")</f>
        <v>0</v>
      </c>
      <c r="C9" s="9" t="n">
        <f aca="false">COUNTIFS(Review!$I$2:$I$101,TRUE(),Review!$C$2:$C$101,"reject")</f>
        <v>0</v>
      </c>
    </row>
    <row r="10" customFormat="false" ht="15" hidden="false" customHeight="false" outlineLevel="0" collapsed="false">
      <c r="A10" s="9" t="s">
        <v>768</v>
      </c>
      <c r="B10" s="9" t="n">
        <f aca="false">COUNTIFS(Review!$I$2:$I$101,FALSE(),Review!$C$2:$C$101,"accept")</f>
        <v>0</v>
      </c>
      <c r="C10" s="9" t="n">
        <f aca="false">COUNTIFS(Review!$I$2:$I$101,FALSE(),Review!$C$2:$C$101,"reject")</f>
        <v>0</v>
      </c>
    </row>
    <row r="11" customFormat="false" ht="15" hidden="false" customHeight="false" outlineLevel="0" collapsed="false">
      <c r="A11" s="9"/>
    </row>
    <row r="12" customFormat="false" ht="15" hidden="false" customHeight="false" outlineLevel="0" collapsed="false">
      <c r="A12" s="9" t="s">
        <v>769</v>
      </c>
      <c r="B12" s="10" t="str">
        <f aca="false">IFERROR((B9+C10)/(B9+C9+B10+C10),"")</f>
        <v/>
      </c>
    </row>
    <row r="13" customFormat="false" ht="15" hidden="false" customHeight="false" outlineLevel="0" collapsed="false">
      <c r="A13" s="9" t="s">
        <v>770</v>
      </c>
      <c r="B13" s="11" t="str">
        <f aca="false">IFERROR(((B9+C10)/(B9+C9+B10+C10)-((B9+C9)*(B9+B10)+(B10+C10)*(C9+C10))/(B9+C9+B10+C10)^2)/(1-((B9+C9)*(B9+B10)+(B10+C10)*(C9+C10))/(B9+C9+B10+C10)^2),"")</f>
        <v/>
      </c>
    </row>
    <row r="14" customFormat="false" ht="15" hidden="false" customHeight="false" outlineLevel="0" collapsed="false">
      <c r="A14" s="9"/>
    </row>
    <row r="15" customFormat="false" ht="15" hidden="false" customHeight="false" outlineLevel="0" collapsed="false">
      <c r="A15" s="8" t="s">
        <v>771</v>
      </c>
    </row>
    <row r="16" customFormat="false" ht="15" hidden="false" customHeight="false" outlineLevel="0" collapsed="false">
      <c r="A16" s="9" t="s">
        <v>772</v>
      </c>
      <c r="B16" s="9" t="n">
        <f aca="false">COUNTIF(Review!$D$2:$D$101,"incorrect")</f>
        <v>0</v>
      </c>
    </row>
    <row r="17" customFormat="false" ht="15" hidden="false" customHeight="false" outlineLevel="0" collapsed="false">
      <c r="A17" s="9" t="s">
        <v>773</v>
      </c>
      <c r="B17" s="9" t="n">
        <f aca="false">COUNTIF(Review!$D$2:$D$101,"unsupported")</f>
        <v>0</v>
      </c>
    </row>
    <row r="18" customFormat="false" ht="15" hidden="false" customHeight="false" outlineLevel="0" collapsed="false">
      <c r="A18" s="9" t="s">
        <v>251</v>
      </c>
      <c r="B18" s="9" t="n">
        <f aca="false">COUNTIF(Review!$D$2:$D$101,"not_standalone")</f>
        <v>0</v>
      </c>
    </row>
    <row r="19" customFormat="false" ht="15" hidden="false" customHeight="false" outlineLevel="0" collapsed="false">
      <c r="A19" s="9" t="s">
        <v>774</v>
      </c>
      <c r="B19" s="9" t="n">
        <f aca="false">COUNTIF(Review!$D$2:$D$101,"low_value")</f>
        <v>0</v>
      </c>
    </row>
    <row r="20" customFormat="false" ht="15" hidden="false" customHeight="false" outlineLevel="0" collapsed="false">
      <c r="A20" s="9" t="s">
        <v>775</v>
      </c>
      <c r="B20" s="9" t="n">
        <f aca="false">COUNTIF(Review!$D$2:$D$101,"unclear")</f>
        <v>0</v>
      </c>
    </row>
    <row r="21" customFormat="false" ht="15" hidden="false" customHeight="false" outlineLevel="0" collapsed="false">
      <c r="A21" s="9" t="s">
        <v>776</v>
      </c>
      <c r="B21" s="9" t="n">
        <f aca="false">COUNTIF(Review!$D$2:$D$101,"other")</f>
        <v>0</v>
      </c>
    </row>
    <row r="23" customFormat="false" ht="15" hidden="false" customHeight="false" outlineLevel="0" collapsed="false">
      <c r="A23" s="12" t="s">
        <v>777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2026-10-03T14:03:30Z</dcterms:created>
  <dc:creator>openpyxl</dc:creator>
  <dc:description/>
  <dc:language>en-US</dc:language>
  <cp:lastModifiedBy/>
  <dcterms:modified xsi:type="dcterms:W3CDTF">2026-10-03T14:03:31Z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