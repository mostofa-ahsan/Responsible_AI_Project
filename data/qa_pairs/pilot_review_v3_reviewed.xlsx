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Review" sheetId="2" state="visible" r:id="rId4"/>
    <sheet name="Agreement" sheetId="3" state="visible" r:id="rId5"/>
  </sheets>
  <definedNames>
    <definedName function="false" hidden="true" localSheetId="1" name="_xlnm._FilterDatabase" vbProcedure="false">Review!$A$1:$Y$126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<sst xmlns="http://schemas.openxmlformats.org/spreadsheetml/2006/main" count="1786" uniqueCount="1016">
  <si>
    <t xml:space="preserve">Pilot v3 QA review</t>
  </si>
  <si>
    <t xml:space="preserve">What to do</t>
  </si>
  <si>
    <t xml:space="preserve">1. On the Review sheet, the top 20 rows (priority = TRUE, shaded) are a stratified sample: 5 filter-rejected pairs, 5 repaired pairs, and 10 other passed pairs across question types. Review those (about 20 minutes).</t>
  </si>
  <si>
    <t xml:space="preserve">2. Pick accept or reject in human_verdict (yellow, dropdown). If rejecting, pick a reject_category and add a short note.</t>
  </si>
  <si>
    <t xml:space="preserve">3. Review BLIND first. The last three columns (claude_verdict, claude_category, claude_note) hold Claude's pre-screen and are collapsed. Expand them (the + above them) only after you finish your 20 rows, then compare.</t>
  </si>
  <si>
    <t xml:space="preserve">4. The Agreement sheet updates automatically: you vs the automatic filters, and you vs Claude's pre-screen.</t>
  </si>
  <si>
    <t xml:space="preserve">Accept a pair only if all three are true</t>
  </si>
  <si>
    <t xml:space="preserve">Correct: the answer is fully supported by the evidence, with nothing added.</t>
  </si>
  <si>
    <t xml:space="preserve">Standalone: the question makes sense to someone who has never seen the source.</t>
  </si>
  <si>
    <t xml:space="preserve">Worth learning: it is about the domain (responsible AI, higher education), not trivia, study methodology or bibliography.</t>
  </si>
  <si>
    <t xml:space="preserve">Reject categories</t>
  </si>
  <si>
    <t xml:space="preserve">incorrect - answer contradicts or misreads the evidence</t>
  </si>
  <si>
    <t xml:space="preserve">unsupported - answer adds claims the evidence does not make</t>
  </si>
  <si>
    <t xml:space="preserve">not_standalone - question depends on unseen context ("the study", "what example is given")</t>
  </si>
  <si>
    <t xml:space="preserve">low_value - trivial, methodology, bibliographic or appendix detail</t>
  </si>
  <si>
    <t xml:space="preserve">unclear - ambiguous, contrived or self-answering question</t>
  </si>
  <si>
    <t xml:space="preserve">other - e.g. duplicate; explain in human_notes</t>
  </si>
  <si>
    <t xml:space="preserve">When done</t>
  </si>
  <si>
    <t xml:space="preserve">Save (keep .xlsx), copy into the project as data/qa_pairs/pilot_review_v3_reviewed.xlsx, and ask Claude Code to merge human_verdict, reject_category and human_notes by qa_id (sheet "Review").</t>
  </si>
  <si>
    <t xml:space="preserve">#</t>
  </si>
  <si>
    <t xml:space="preserve">priority</t>
  </si>
  <si>
    <t xml:space="preserve">human_verdict</t>
  </si>
  <si>
    <t xml:space="preserve">reject_category</t>
  </si>
  <si>
    <t xml:space="preserve">human_notes</t>
  </si>
  <si>
    <t xml:space="preserve">question</t>
  </si>
  <si>
    <t xml:space="preserve">answer</t>
  </si>
  <si>
    <t xml:space="preserve">evidence</t>
  </si>
  <si>
    <t xml:space="preserve">citation</t>
  </si>
  <si>
    <t xml:space="preserve">passed_filters</t>
  </si>
  <si>
    <t xml:space="preserve">repaired</t>
  </si>
  <si>
    <t xml:space="preserve">reject_reason</t>
  </si>
  <si>
    <t xml:space="preserve">q_type</t>
  </si>
  <si>
    <t xml:space="preserve">difficulty</t>
  </si>
  <si>
    <t xml:space="preserve">dimension</t>
  </si>
  <si>
    <t xml:space="preserve">grounding</t>
  </si>
  <si>
    <t xml:space="preserve">value</t>
  </si>
  <si>
    <t xml:space="preserve">judge_rationale</t>
  </si>
  <si>
    <t xml:space="preserve">paraphrase_1</t>
  </si>
  <si>
    <t xml:space="preserve">paraphrase_2</t>
  </si>
  <si>
    <t xml:space="preserve">origin</t>
  </si>
  <si>
    <t xml:space="preserve">qa_id</t>
  </si>
  <si>
    <t xml:space="preserve">claude_verdict</t>
  </si>
  <si>
    <t xml:space="preserve">claude_category</t>
  </si>
  <si>
    <t xml:space="preserve">claude_note</t>
  </si>
  <si>
    <t xml:space="preserve">Why is the concentration of top-ranked universities in a few regions of the world not simply a matter of the best institutions naturally rising to the top?</t>
  </si>
  <si>
    <t xml:space="preserve">Scholars of educational, health or other inequalities have long noted that underlying structures invariably create, maintain and often exacerbate social inequalities. In other words, it is not about the cream rising to the top, but about a system in which the cream identifies itself as better and uses systemic processes to stay there.</t>
  </si>
  <si>
    <t xml:space="preserve">Scholars of educational, health, or other inequalities, though, have long noted that underlying structures invariably create, maintain and often exacerbate social inequalities. In other words, it is not about the cream rising to the top, but rather about the presence of a system in which the cream identifies itself as better and utilises systemic processes to stay there.</t>
  </si>
  <si>
    <t xml:space="preserve">Socially Responsible Higher Education, p. 96</t>
  </si>
  <si>
    <t xml:space="preserve">explanation</t>
  </si>
  <si>
    <t xml:space="preserve">medium</t>
  </si>
  <si>
    <t xml:space="preserve">equity_accessibility</t>
  </si>
  <si>
    <t xml:space="preserve">The answer restates the quoted evidence almost verbatim, with only trivial rewording. The evidence does not itself mention regional concentration of rankings, but the answer makes no claim about it. | The question is self-contained and does not refer to any unseen source or context. | value: It covers a useful critical perspective on structural inequality in global university rankings.</t>
  </si>
  <si>
    <t xml:space="preserve">Why is the dominance of a few regions in world university rankings not just a case of merit naturally rising?</t>
  </si>
  <si>
    <t xml:space="preserve">Why can the dominance of a handful of world regions among top-ranked universities not be explained merely by the best institutions naturally ascending to the top?</t>
  </si>
  <si>
    <t xml:space="preserve">pilot</t>
  </si>
  <si>
    <t xml:space="preserve">budd-l-hall-rajesh-2021-socially-responsible:0055:q2</t>
  </si>
  <si>
    <t xml:space="preserve">accept</t>
  </si>
  <si>
    <t xml:space="preserve">Non-AI content (Socially Responsible HE book); these chunks have ai_score=0 and are excluded from full_v1 anyway.</t>
  </si>
  <si>
    <t xml:space="preserve">What technique conceals confidential information in a way that does not affect the overall outcome of an AI system's decision-making process?</t>
  </si>
  <si>
    <t xml:space="preserve">Data masking is the technique in which confidential information is concealed in a way that does not affect the overall outcome of the decision-making process.</t>
  </si>
  <si>
    <t xml:space="preserve">This can be achieved through techniques such as data masking, where confidential information is concealed in a way that does not affect the overall outcome of the decisionmaking process.</t>
  </si>
  <si>
    <t xml:space="preserve">Towards Ethical and Socially Responsible Explainable AI, p. 103</t>
  </si>
  <si>
    <t xml:space="preserve">factual</t>
  </si>
  <si>
    <t xml:space="preserve">easy</t>
  </si>
  <si>
    <t xml:space="preserve">privacy_security</t>
  </si>
  <si>
    <t xml:space="preserve">The answer restates the evidence almost verbatim: data masking conceals confidential information without affecting the overall outcome of decision-making. | The question names the concept (concealing confidential information in AI decision-making) without referring to an unseen source. | value: Data masking is a useful privacy-preserving technique relevant to responsible AI.</t>
  </si>
  <si>
    <t xml:space="preserve">Which technique hides confidential data without changing the overall outcome of an AI system's decision-making?</t>
  </si>
  <si>
    <t xml:space="preserve">Which approach hides sensitive information within an AI system without changing the final result of its decision-making?</t>
  </si>
  <si>
    <t xml:space="preserve">towards-ethical:0051:q2</t>
  </si>
  <si>
    <t xml:space="preserve">In ethical explainable AI, what does it mean for an AI system to be transparent and auditable?</t>
  </si>
  <si>
    <t xml:space="preserve">Transparency requires clear and understandable explanations of the system's decision-making processes, the data used, and the outcomes produced. Being auditable means that the decision-making processes can be traced and verified by relevant parties.</t>
  </si>
  <si>
    <t xml:space="preserve">This requires clear and understandable explanations of the decision-making processes, the data used, and the outcomes produced by the system. It also requires ensuring that the system is auditable, meaning that the decision-making processes can be traced and verified by relevant parties [9].</t>
  </si>
  <si>
    <t xml:space="preserve">Towards Ethical and Socially Responsible Explainable AI, p. 104</t>
  </si>
  <si>
    <t xml:space="preserve">definition</t>
  </si>
  <si>
    <t xml:space="preserve">governance</t>
  </si>
  <si>
    <t xml:space="preserve">The answer closely restates the evidence. However, the evidence refers only to "this", so tying the explanation requirement specifically to transparency is a slight assumption. | The question is self-contained and clearly names the concepts it asks about. | value: Transparency and auditability are useful core concepts in responsible AI.</t>
  </si>
  <si>
    <t xml:space="preserve">What do transparency and auditability require of an AI system in ethical explainable AI?</t>
  </si>
  <si>
    <t xml:space="preserve">In ethical explainable AI, what must be in place for an AI system to count as transparent and as auditable?</t>
  </si>
  <si>
    <t xml:space="preserve">towards-ethical:0051:q4</t>
  </si>
  <si>
    <t xml:space="preserve">A university is deploying an AI admissions-screening tool that processes applicants' personal data and affects individuals' lives. What accountability practices on data privacy and algorithmic bias apply?</t>
  </si>
  <si>
    <t xml:space="preserve">The organization should adhere to data privacy laws such as the GDPR in the European Union or the CCPA in the United States, implementing robust data protection measures, obtaining necessary consents, and enabling users to exercise their privacy rights. It should also implement measures to identify and mitigate algorithmic bias, particularly in applications that affect individuals' lives such as hiring or lending decisions, and regularly audit algorithms for fairness.</t>
  </si>
  <si>
    <t xml:space="preserve">Data Privacy Compliance: Adhere to data privacy laws such as the General Data Protection Regulation (GDPR) in the European Union or the California Consumer Privacy Act (CCPA) in the United States [31]. Implement robust data protection measures, obtain necessary consents, and enable users to exercise their privacy rights. … Algorithmic Bias Mitigation: Implement measures to identify and mitigate algorithmic bias, particularly in applications that impact individuals' lives, such as hiring or lending decisions. Regularly audit algorithms for fairness.</t>
  </si>
  <si>
    <t xml:space="preserve">Towards Ethical and Socially Responsible Explainable AI, pp. 171-172</t>
  </si>
  <si>
    <t xml:space="preserve">application</t>
  </si>
  <si>
    <t xml:space="preserve">hard</t>
  </si>
  <si>
    <t xml:space="preserve">The answer restates the evidence nearly verbatim. Applying general guidance to a university admissions scenario is a mild framing, but the answer itself adds no unsupported claims. | The scenario is self-contained and uses no source references. Acronyms appear only in the answer. | value: These are useful accountability practices on privacy and bias for AI deployment.</t>
  </si>
  <si>
    <t xml:space="preserve">A university plans to use an AI tool to screen admissions applications using personal data, with consequences for people's lives. Which data privacy and bias-related accountability practices should it follow?</t>
  </si>
  <si>
    <t xml:space="preserve">A university is rolling out an AI tool to screen admissions applications, which handles applicants' personal data and influences their lives. Which accountability practices relating to data privacy and algorithmic bias are relevant?</t>
  </si>
  <si>
    <t xml:space="preserve">towards-ethical:0090:q0</t>
  </si>
  <si>
    <t xml:space="preserve">Which regulation should healthcare AI systems comply with as an example of sector-specific regulation?</t>
  </si>
  <si>
    <t xml:space="preserve">Healthcare AI systems should comply with Health Insurance Portability and Accountability Act (HIPAA) regulations. Organizations should be aware of sector-specific regulations that may apply to AI applications.</t>
  </si>
  <si>
    <t xml:space="preserve">Sector-Specific Regulations: Be aware of sector-specific regulations that may apply to AI applications. For instance, healthcare AI systems should comply with Health Insurance Portability and Accountability Act (HIPAA) regulations.</t>
  </si>
  <si>
    <t xml:space="preserve">Towards Ethical and Socially Responsible Explainable AI, p. 172</t>
  </si>
  <si>
    <t xml:space="preserve">Both statements are directly stated in the evidence: be aware of sector-specific regulations, and healthcare AI should comply with HIPAA. | The question is self-contained and needs no reference to an unseen source. | value: This is a basic compliance example that is only tangential to AI in higher education.</t>
  </si>
  <si>
    <t xml:space="preserve">As an example of a sector-specific rule for AI, which regulations must healthcare AI systems comply with?</t>
  </si>
  <si>
    <t xml:space="preserve">As an instance of sector-specific regulation, which law must AI systems used in healthcare comply with?</t>
  </si>
  <si>
    <t xml:space="preserve">towards-ethical:0090:q4</t>
  </si>
  <si>
    <t xml:space="preserve">A nursing school wants to roll out generative AI for assessment generation and clinical simulation while keeping students' trust and the school's standards intact. What do the 2025 PAGER scoping review's recommendations on ChatGPT in nursing education say it should do?</t>
  </si>
  <si>
    <t xml:space="preserve">Implementation should follow evidence-based approaches in assessment generation and clinical simulation development, aligning with established pedagogical frameworks to enhance rather than replace effective teaching practices. Nursing education also needs a comprehensive framework that balances innovation with academic integrity in assessment and clinical training, sets clear data privacy and security standards, and ensures compliance with educational regulations. Developing technical and ethical competencies is crucial, especially for upholding academic integrity and ensuring equitable student access.</t>
  </si>
  <si>
    <t xml:space="preserve">Implementation should follow evidence-based approaches in assessment generation and clinical simulation development, aligning with established pedagogical frameworks to enhance rather than replace effective teaching practices. … The findings indicate the necessity of establishing a comprehensive system that balances innovation with academic integrity in nursing assessment and clinical training. These frameworks should establish clear data privacy and security standards guidelines and ensure compliance with educational regulations (Foronda and Porter, 2024). … Systematic documentation and evaluation of implementation experiences will contribute to developing best practices. Developing technical and ethical competencies is crucial, especially for upholding academic integrity and ensuring equitable student access. Cross-institutional collaboration should be encouraged to share implementation strategies and lessons learned.</t>
  </si>
  <si>
    <t xml:space="preserve">Patterns, advances, and gaps in using ChatGPT and similar technologies in nursing education: A PAGER scoping review, p. 8</t>
  </si>
  <si>
    <t xml:space="preserve">teaching_learning</t>
  </si>
  <si>
    <t xml:space="preserve">The answer closely restates the evidence. The only changes are trivial rewordings, such as "framework" for "system". | The question identifies the source by its content (a 2025 PAGER scoping review on ChatGPT in nursing education) and sets out a clear scenario. | value: These are practical, domain-relevant recommendations for responsibly implementing generative AI in nursing education.</t>
  </si>
  <si>
    <t xml:space="preserve">If a nursing school introduces generative AI for assessment generation and clinical simulation, what approach does the PAGER scoping review on nursing education recommend it take?</t>
  </si>
  <si>
    <t xml:space="preserve">A school of nursing intends to introduce generative AI to generate assessments and run clinical simulations, while preserving student trust and its own standards. What steps does the 2025 PAGER scoping review on ChatGPT in nursing education advise it to take?</t>
  </si>
  <si>
    <t xml:space="preserve">patterns-advances-and-gaps-in-using-chatgpt-and:0016:q0</t>
  </si>
  <si>
    <t xml:space="preserve">According to a PAGER scoping review of ChatGPT and similar technologies in nursing education, why should nursing curricula pair content on critical thinking with ethical guidelines?</t>
  </si>
  <si>
    <t xml:space="preserve">Authors emphasise the need for content that develops critical thinking abilities alongside the establishment of ethical guidelines in order to ensure responsible AI use.</t>
  </si>
  <si>
    <t xml:space="preserve">Building on this foundation, authors emphasise the need for content that develops critical thinking abilities alongside the establishment of ethical guidelines to ensure responsible AI use (Alkhaqani, 2023b; Archibald and Clark, 2023; Athilingam and He, 2024).</t>
  </si>
  <si>
    <t xml:space="preserve">Patterns, advances, and gaps in using ChatGPT and similar technologies in nursing education: A PAGER scoping review, p. 7</t>
  </si>
  <si>
    <t xml:space="preserve">student_ai_literacy</t>
  </si>
  <si>
    <t xml:space="preserve">The answer restates the evidence nearly verbatim: content developing critical thinking alongside ethical guidelines is needed to ensure responsible AI use. | The question names the specific review by its content (a PAGER scoping review of ChatGPT in nursing education). The phrase 'according to' does presuppose a source, but here it identifies a named work, which is acceptable. | value: A useful curricular recommendation for responsible AI use in nursing education.</t>
  </si>
  <si>
    <t xml:space="preserve">In the PAGER scoping review on GenAI in nursing education, what is the purpose of developing critical thinking abilities alongside ethical guidelines in nursing content?</t>
  </si>
  <si>
    <t xml:space="preserve">Why does the PAGER scoping review of GenAI in nursing education call for nursing content that builds critical thinking together with ethical guidelines?</t>
  </si>
  <si>
    <t xml:space="preserve">patterns-advances-and-gaps-in-using-chatgpt-and:0013:q0</t>
  </si>
  <si>
    <t xml:space="preserve">What technical improvements to GenAI do nursing education studies recommend in the PAGER scoping review?</t>
  </si>
  <si>
    <t xml:space="preserve">Technical recommendations focus on improving GenAI's accuracy and reducing bias by refining models to better reflect nursing standards and classification systems.</t>
  </si>
  <si>
    <t xml:space="preserve">Technical recommendations focus on improving GenAI's accuracy and reducing bias by refining models to reflect nursing standards and classification systems better (Gosak et al., 2024; Ye, 2024).</t>
  </si>
  <si>
    <t xml:space="preserve">procurement_technology</t>
  </si>
  <si>
    <t xml:space="preserve">The answer restates the evidence almost verbatim; every claim (accuracy, bias reduction, refining models to reflect nursing standards and classification systems) is directly stated. | The question names the PAGER scoping review and the topic, GenAI in nursing education, and does not refer to unseen context. PAGER is a named framework, so the question is acceptable as it stands. | value: These are useful, fairly specific recommendations about GenAI accuracy and bias in nursing education.</t>
  </si>
  <si>
    <t xml:space="preserve">Which technical recommendations for GenAI in nursing education are made in the PAGER scoping review?</t>
  </si>
  <si>
    <t xml:space="preserve">In the PAGER scoping review of GenAI in nursing education, what do technical recommendations focus on?</t>
  </si>
  <si>
    <t xml:space="preserve">patterns-advances-and-gaps-in-using-chatgpt-and:0013:q2</t>
  </si>
  <si>
    <t xml:space="preserve">How do AI-driven entrepreneurial simulation systems improve students' ability to handle complex business scenarios?</t>
  </si>
  <si>
    <t xml:space="preserve">These simulation systems let students practice entrepreneurial decision-making in a low-risk environment and give them instant feedback, which improves their ability to handle complex business scenarios.</t>
  </si>
  <si>
    <t xml:space="preserve">For instance, AI-driven entrepreneurial simulation systems enable students to practice entrepreneurial decision-making in a low-risk environment, providing instant feedback and improving their ability to handle complex business scenarios (Chen et al., 2022; Mavlutova et al., 2020; Nowak, 2020).</t>
  </si>
  <si>
    <t xml:space="preserve">Toward understanding the role of generative AI in entrepreneurship education: A systematic review, p. 14</t>
  </si>
  <si>
    <t xml:space="preserve">The answer directly restates the evidence: practice in a low-risk environment, instant feedback, and improved handling of complex scenarios. | The question names the technology by its content and does not refer to any unseen source. | value: This is useful and somewhat specific knowledge about how AI is applied in entrepreneurship education.</t>
  </si>
  <si>
    <t xml:space="preserve">Why do AI-driven entrepreneurial simulation systems help students deal better with complex business scenarios?</t>
  </si>
  <si>
    <t xml:space="preserve">By what means do AI-driven entrepreneurial simulations strengthen students' handling of complex business scenarios?</t>
  </si>
  <si>
    <t xml:space="preserve">toward-understanding-the-role-of-generative-ai:0024:q2</t>
  </si>
  <si>
    <t xml:space="preserve">What shift in AI-powered learning models in entrepreneurship education has been observed, and what benefit may it bring?</t>
  </si>
  <si>
    <t xml:space="preserve">AI-powered learning models in entrepreneurship education are shifting from traditional static courses toward more personalized, immersive, and data-driven approaches. This may contribute to improved student learning experiences and knowledge acquisition.</t>
  </si>
  <si>
    <t xml:space="preserve">AIpowered learning models in EE are increasingly shifting from traditional static courses toward more personalized, immersive, and datadriven approaches, which may contribute to improved student learning experiences and knowledge acquisition.</t>
  </si>
  <si>
    <t xml:space="preserve">The answer restates the evidence almost verbatim, covering both the shift toward personalized, immersive, data-driven approaches and the potential benefit. It adds nothing beyond what the evidence says. | The question names its topic, AI-powered learning models in entrepreneurship education, explicitly and does not refer to any unseen source. | value: This is useful domain knowledge about how AI is changing pedagogy in one specific field of higher education.</t>
  </si>
  <si>
    <t xml:space="preserve">How are AI-powered learning models in entrepreneurship education changing compared with traditional courses, and what may this improve?</t>
  </si>
  <si>
    <t xml:space="preserve">What change is occurring in entrepreneurship education learning models powered by AI, and what outcomes might it contribute to?</t>
  </si>
  <si>
    <t xml:space="preserve">toward-understanding-the-role-of-generative-ai:0024:q3</t>
  </si>
  <si>
    <t xml:space="preserve">How might cultural and contextual settings affect the effectiveness of generative-AI-enabled entrepreneurship education, and which macro-level factors are proposed as influences?</t>
  </si>
  <si>
    <t xml:space="preserve">The effectiveness of generative-AI-enabled entrepreneurship education is proposed to vary across cultural and contextual settings. This variation is influenced by macro-level factors such as government support, economic conditions, and cultural norms.</t>
  </si>
  <si>
    <t xml:space="preserve">Research Proposition 2: The effectiveness of GAI-enabled EE varies across cultural and contextual settings, influenced by macro-level factors such as government support, economic conditions, and cultural norms. Future research could apply HLM and Hofstede's Cultural Dimensions Theory to examine how uncertainty avoidance, collectivism, and digital infrastructure moderate learners' trust in GAI and their collaborative behaviors.</t>
  </si>
  <si>
    <t xml:space="preserve">Toward understanding the role of generative AI in entrepreneurship education: A systematic review, p. 19</t>
  </si>
  <si>
    <t xml:space="preserve">The answer directly restates Research Proposition 2, including the three macro-level factors named in the evidence. | The question names its topic by content and has no source references or undefined acronyms. | value: This is a useful proposition about contextual influences on AI-enabled entrepreneurship education, though somewhat specific.</t>
  </si>
  <si>
    <t xml:space="preserve">In what way could cultural and contextual settings change how effective generative-AI-enabled entrepreneurship education is, and which macro-level factors are proposed to influence it?</t>
  </si>
  <si>
    <t xml:space="preserve">Which macro-level factors are proposed to make the effectiveness of generative-AI-enabled entrepreneurship education vary across cultural and contextual settings?</t>
  </si>
  <si>
    <t xml:space="preserve">toward-understanding-the-role-of-generative-ai:0033:q4</t>
  </si>
  <si>
    <t xml:space="preserve">What does the AI competency work of Celik (2023) do with the TPACK model, and what is its purpose?</t>
  </si>
  <si>
    <t xml:space="preserve">Celik (2023) extended the TPACK model to include AI competencies for teacher development.</t>
  </si>
  <si>
    <t xml:space="preserve">Celik (2023) extended the TPACK model to include AI competencies for teacher development, while Long and Magerko (2020) focusing on K-12 and Carolus et al. (2023) focusing on citizens' competencies, using literature reviews to shape their frameworks.</t>
  </si>
  <si>
    <t xml:space="preserve">Be AIware! An AI Competency Model for K-12 Education, p. 3</t>
  </si>
  <si>
    <t xml:space="preserve">faculty_readiness</t>
  </si>
  <si>
    <t xml:space="preserve">The answer directly restates the evidence that Celik (2023) extended TPACK to include AI competencies for teacher development. | The question names a specific study (Celik 2023) and a named model, and it does not refer to unseen context. TPACK is a widely known acronym in educational technology. | value: It is useful domain knowledge about an AI competency framework for teacher development.</t>
  </si>
  <si>
    <t xml:space="preserve">How did Celik (2023) extend the TPACK model, and for what purpose?</t>
  </si>
  <si>
    <t xml:space="preserve">What addition did Celik (2023) make to the TPACK model, and what was it meant to support?</t>
  </si>
  <si>
    <t xml:space="preserve">be-aiware-an-ai-competency-model-for-k-12:0004:q1</t>
  </si>
  <si>
    <t xml:space="preserve">Why must general claims of AI grading efficacy be tempered by task-specific evaluation?</t>
  </si>
  <si>
    <t xml:space="preserve">AI grading performance varies by task type, discipline, and contextual alignment with assessment rubrics. Because of this variation, general claims of AI efficacy must be tempered by task-specific evaluation. AI performs reliably in structured tasks, but its accuracy declines in open-ended or creative assignments that require nuanced contextual understanding.</t>
  </si>
  <si>
    <t xml:space="preserve">Empirical evidence indicates that AI grading performance varies by task type, discipline, and contextual alignment with assessment rubrics, suggesting that general claims of AI efficacy must be tempered by task-specific evaluation (Condor, 2024). … While AI performs reliably in structured tasks, its accuracy declines in openended or creative assignments, where nuanced contextual understanding is required (Lo et al., 2025).</t>
  </si>
  <si>
    <t xml:space="preserve">Reliable but not rigorous: Evaluating ChatGPT's reliability, validity, and bias in automated academic grading, p. 2</t>
  </si>
  <si>
    <t xml:space="preserve">assessment</t>
  </si>
  <si>
    <t xml:space="preserve">Every statement is supported by the evidence. The answer only lightly rewords the source and adds a causal link that the evidence's "suggesting that" already implies. | The question is self-contained and clear without needing the source. | value: This is useful knowledge about the limits of AI grading reliability in assessment.</t>
  </si>
  <si>
    <t xml:space="preserve">Why should broad claims that AI grading works be qualified by evaluating specific tasks?</t>
  </si>
  <si>
    <t xml:space="preserve">What reason is there for qualifying general claims about the efficacy of AI grading through task-specific evaluation?</t>
  </si>
  <si>
    <t xml:space="preserve">extra:assessment</t>
  </si>
  <si>
    <t xml:space="preserve">reliable-but-not-rigorous-evaluating-chatgpt-s:0002:q3</t>
  </si>
  <si>
    <t xml:space="preserve">Why does a lack of comprehensive frameworks for preparing faculty for AI matter for higher education institutions?</t>
  </si>
  <si>
    <t xml:space="preserve">Many higher education institutions lack comprehensive frameworks to prepare faculty for emerging technological challenges such as AI. This gap undermines their ability to integrate AI into teaching, research, and service, thereby constraining institutional responsiveness to societal needs.</t>
  </si>
  <si>
    <t xml:space="preserve">Despite their strategic role, many HEIs lack comprehensive frameworks to prepare faculty for emerging technological challenges such as artificial intelligence. This gap undermines their ability to integrate AI into teaching, research, and service, thereby constraining institutional responsiveness to societal needs (Sued, 2022).</t>
  </si>
  <si>
    <t xml:space="preserve">Stakeholder engagement and strategic innovation in higher education through AI competency, p. 4</t>
  </si>
  <si>
    <t xml:space="preserve">Both sentences of the answer restate the evidence almost word for word. Nothing is added. | The question is self-contained and does not refer to any source or unseen context. | value: It covers a relevant institutional point about faculty AI readiness and its consequences.</t>
  </si>
  <si>
    <t xml:space="preserve">What are the consequences for universities when they lack comprehensive frameworks to prepare faculty for AI?</t>
  </si>
  <si>
    <t xml:space="preserve">How does the absence of comprehensive faculty AI-preparation frameworks affect higher education institutions?</t>
  </si>
  <si>
    <t xml:space="preserve">extra:leadership_strategy</t>
  </si>
  <si>
    <t xml:space="preserve">stakeholder-engagement-and-strategic-innovation:0006:q3</t>
  </si>
  <si>
    <t xml:space="preserve">Why should faculty development be integrated as a governance strategy in higher education institutions?</t>
  </si>
  <si>
    <t xml:space="preserve">Recognition of faculty as agents of transformation must be translated into capacity-building initiatives and resource allocation that enable faculty to act effectively. When integrated as a governance strategy, faculty development strengthens institutional capacity to address external challenges and contributes to broader societal and economic goals.</t>
  </si>
  <si>
    <t xml:space="preserve">In the context of AI, this recognition must be translated into capacity-building initiatives and resource allocation that enable faculty to act effectively. Faculty development, when integrated as a governance strategy, strengthens institutional capacity to address external challenges and contributes to broader societal and economic goals (Syed et al., 2024).</t>
  </si>
  <si>
    <t xml:space="preserve">The evidence supports the answer. The answer only adds "of faculty as agents of transformation" to define the recognition, which the evidence implies but does not quote. It also drops the "in the context of AI" qualifier. | The question is clear without the source and does not refer to any unseen context. | value: This is a useful institutional governance point about building faculty capacity for AI.</t>
  </si>
  <si>
    <t xml:space="preserve">How does treating faculty development as a governance strategy benefit universities?</t>
  </si>
  <si>
    <t xml:space="preserve">What is the benefit of integrating faculty development into the governance of higher education institutions?</t>
  </si>
  <si>
    <t xml:space="preserve">stakeholder-engagement-and-strategic-innovation:0006:q4</t>
  </si>
  <si>
    <t xml:space="preserve">In Peruvian law schools, what function do free legal aid clinics often serve for students?</t>
  </si>
  <si>
    <t xml:space="preserve">Free legal aid clinics often function as alternatives to internships, where students can get educational credit and recognition for internship work. This was the case in 27 institutions.</t>
  </si>
  <si>
    <t xml:space="preserve">First, it is interesting to note that of the 31 institutions surveyed, only 3 have implemented public interest clinics, while the remainder have opted for free legal aid clinics. The latter often function as alternatives to internships, where students can get educational credit and recognition for internship work (27 institutions).</t>
  </si>
  <si>
    <t xml:space="preserve">Socially Responsible Higher Education, p. 222</t>
  </si>
  <si>
    <t xml:space="preserve">low_value(2)</t>
  </si>
  <si>
    <t xml:space="preserve">Every statement in the answer is directly stated in the evidence. This includes the alternative-to-internship function, the educational credit and recognition, and the figure of 27 institutions. | The question names its context (Peruvian law schools, free legal aid clinics) and does not rely on any unseen source. | value: This is a narrow detail about Peruvian legal clinical education, with no connection to AI or responsible AI.</t>
  </si>
  <si>
    <t xml:space="preserve">What role do free legal aid clinics often play for students at Peruvian law schools?</t>
  </si>
  <si>
    <t xml:space="preserve">How do Peruvian law students often use free legal aid clinics in relation to internships?</t>
  </si>
  <si>
    <t xml:space="preserve">budd-l-hall-rajesh-2021-socially-responsible:0120:q2</t>
  </si>
  <si>
    <t xml:space="preserve">reject</t>
  </si>
  <si>
    <t xml:space="preserve">low_value</t>
  </si>
  <si>
    <t xml:space="preserve">Agree with filter (low value).</t>
  </si>
  <si>
    <t xml:space="preserve">Which areas of law do Peruvian free legal aid clinics cover most, and how many of 31 clinics deal with civil law?</t>
  </si>
  <si>
    <t xml:space="preserve">Of the 31 clinics, 24 provided services in family law and 16 provided representation in criminal law cases. Only 15 indicated that they deal with civil law cases, an unusual number given that civil law is the most common area of practice in Peru.</t>
  </si>
  <si>
    <t xml:space="preserve">Out of the 31 clinics, 24 free legal aid clinics provided services in family law and 16 provided representation in criminal law cases. Surprisingly, only 15 of the clinics indicated that they deal with civil law cases - an unusual number given that civil law is the most common area of practice in Peru.</t>
  </si>
  <si>
    <t xml:space="preserve">Socially Responsible Higher Education, p. 223</t>
  </si>
  <si>
    <t xml:space="preserve">not_standalone(judge);low_value(2)</t>
  </si>
  <si>
    <t xml:space="preserve">general</t>
  </si>
  <si>
    <t xml:space="preserve">Every figure and the remark about civil law being Peru's most common area of practice are stated directly in the evidence. | The question refers to a specific sample of 31 clinics without naming the survey or study it comes from, so it presupposes unseen context. | value: These are sample-specific survey counts about Peruvian legal aid clinics, unrelated to responsible AI.</t>
  </si>
  <si>
    <t xml:space="preserve">Among 31 Peruvian free legal aid clinics, which legal areas are most common, and how many handle civil law cases?</t>
  </si>
  <si>
    <t xml:space="preserve">What areas of law do most Peruvian free legal aid clinics serve, and how many of the 31 take civil law cases?</t>
  </si>
  <si>
    <t xml:space="preserve">budd-l-hall-rajesh-2021-socially-responsible:0120:q4</t>
  </si>
  <si>
    <t xml:space="preserve">According to a 2017 ENARSU Network study of 50 Peruvian universities, what share considered social responsibility in higher education a central pillar of their institution?</t>
  </si>
  <si>
    <t xml:space="preserve">Only 43% of the 50 universities surveyed considered social responsibility in higher education a central pillar in their institution. The same report found that only 36% were incorporating it into curriculums and campus life.</t>
  </si>
  <si>
    <t xml:space="preserve">In line with this finding, a 2017 study by Peru's ENARSU Network (Network of the National Meeting on Social Responsibility in Higher Education) found that only 43% of the 50 universities surveyed considered SRHEI as a central pillar in their institution (Stojnic Chávez &amp; Jungbluth Melgar, 2017, p. 4). This last report also found that only 36% of universities studied were incorporating SRHEI into curriculums and campus life (Stojnic Chávez &amp; Jungbluth Melgar, 2017, pp. 5-6).</t>
  </si>
  <si>
    <t xml:space="preserve">Socially Responsible Higher Education, p. 220</t>
  </si>
  <si>
    <t xml:space="preserve">monitoring_improvement</t>
  </si>
  <si>
    <t xml:space="preserve">Both the 43% figure and the 36% curriculum and campus-life figure are directly stated in the evidence. | The question names the specific study by year, network and sample, so it is clear without the source; ENARSU works as a proper name. | value: A single regional survey statistic on university social responsibility, only tangentially about AI in higher education.</t>
  </si>
  <si>
    <t xml:space="preserve">In the 2017 ENARSU Network survey of 50 Peruvian universities, what percentage treated social responsibility in higher education as a central pillar?</t>
  </si>
  <si>
    <t xml:space="preserve">What proportion of the 50 Peruvian universities surveyed by the ENARSU Network in 2017 regarded social responsibility in higher education as a central institutional pillar?</t>
  </si>
  <si>
    <t xml:space="preserve">budd-l-hall-rajesh-2021-socially-responsible:0118:q1</t>
  </si>
  <si>
    <t xml:space="preserve">Which kinds of earlier, pre-2022 studies were considered eligible in a review of generative AI in entrepreneurship education?</t>
  </si>
  <si>
    <t xml:space="preserve">Earlier studies were eligible if they focused on algorithmic foundations, prototype generative systems, or theoretical frameworks directly relevant to the functionalities later embodied in generative tools. This applied particularly to those published prior to 2022, before the public release of large-scale GAI platforms such as ChatGPT and DALL-E.</t>
  </si>
  <si>
    <t xml:space="preserve">Earlier studies that focused on algorithmic foundations, prototype generative systems, or theoretical frameworks directly relevant to the functionalities later embodied in generative tools were considered eligible for inclusion particularly those published prior to 2022, before the public release of large-scale GAI platforms such as ChatGPT and DALL-E.</t>
  </si>
  <si>
    <t xml:space="preserve">Toward understanding the role of generative AI in entrepreneurship education: A systematic review, p. 3</t>
  </si>
  <si>
    <t xml:space="preserve">The answer restates the evidence nearly verbatim: the three study types, the pre-2022 timing, and the reference to ChatGPT and DALL-E. | The question names the review by its topic (generative AI in entrepreneurship education), which is acceptable, and it uses no source-dependent wording. | value: This covers review inclusion criteria, which is research methodology and of low domain value.</t>
  </si>
  <si>
    <t xml:space="preserve">What types of studies published before 2022 counted as eligible in a review of generative AI in entrepreneurship education?</t>
  </si>
  <si>
    <t xml:space="preserve">In a review on generative AI in entrepreneurship education, which earlier studies were eligible for inclusion?</t>
  </si>
  <si>
    <t xml:space="preserve">toward-understanding-the-role-of-generative-ai:0005:q2</t>
  </si>
  <si>
    <t xml:space="preserve">What method did Leidig et al. (2020) use to ensure expert consensus on digital competencies for information systems programs?</t>
  </si>
  <si>
    <t xml:space="preserve">Leidig et al. (2020) used a Delphi method, ensuring expert consensus on digital competencies for information systems programs.</t>
  </si>
  <si>
    <t xml:space="preserve">Ng et al. (2023) addressed post-pandemic education through a literature review, while Leidig et al. (2020) used a Delphi method, ensuring expert consensus on digital competencies for information systems programs.</t>
  </si>
  <si>
    <t xml:space="preserve">The answer restates the evidence almost verbatim: Leidig et al. (2020) used a Delphi method to ensure expert consensus. | The question names the specific study by its authors and topic, and it does not refer to any unseen context. | value: The pair concerns the research methodology of a single study, which has low domain value.</t>
  </si>
  <si>
    <t xml:space="preserve">How did Leidig et al. (2020) achieve expert consensus on digital competencies for information systems programs?</t>
  </si>
  <si>
    <t xml:space="preserve">Which method did Leidig et al. (2020) employ to establish expert agreement on digital competencies for information systems programs?</t>
  </si>
  <si>
    <t xml:space="preserve">be-aiware-an-ai-competency-model-for-k-12:0004:q4</t>
  </si>
  <si>
    <t xml:space="preserve">A ministry of education in Argentina wants to improve inclusion in universities and notes that enrollment has grown steadily. Which inclusion policies has Argentina relied on, and what problem persists among lower-income young people?</t>
  </si>
  <si>
    <t xml:space="preserve">Argentina's main inclusion policies in university education have been territorial expansion of offerings and sustained enrollment growth, along with some scholarship and tutoring programmes. Even so, dropout remains high, particularly among young people from lower-income socioeconomic sectors.</t>
  </si>
  <si>
    <t xml:space="preserve">One of the main policies of inclusion in the Argentine university system has been the territorial expansion of offerings and the sustained increase in enrollment, along with some scholarship and tutoring programmes for courses. … However, as García de Fanelli (2014, p. 290) points out, levels of abandonment are high, particularly for young people from lower-income socioeconomic sectors, given that "[higher education] is associated with the cultural capital of the family and with the possibilities of young people having access to quality high school education".</t>
  </si>
  <si>
    <t xml:space="preserve">Socially Responsible Higher Education, p. 50</t>
  </si>
  <si>
    <t xml:space="preserve">Every claim in the answer matches the evidence: territorial expansion, enrollment growth, scholarships and tutoring, and high dropout among lower-income youth. 'Dropout' is only a trivial rewording of 'abandonment'. | The question sets up its own scenario and names Argentina directly, with no reference to an unseen source. | value: Higher education inclusion policy is relevant context, but the pair covers one country only and is not about AI.</t>
  </si>
  <si>
    <t xml:space="preserve">An Argentine education ministry sees steadily rising university enrollment and wants greater inclusion. What main inclusion policies has the country used, and what difficulty remains for young people from lower-income backgrounds?</t>
  </si>
  <si>
    <t xml:space="preserve">Suppose Argentine policymakers review university inclusion after years of enrollment growth. Which policies have been the main inclusion tools, and what issue still affects lower-income youth?</t>
  </si>
  <si>
    <t xml:space="preserve">budd-l-hall-rajesh-2021-socially-responsible:0027:q0</t>
  </si>
  <si>
    <t xml:space="preserve">Why does dropout from Argentine higher education remain high among young people from lower-income sectors?</t>
  </si>
  <si>
    <t xml:space="preserve">According to García de Fanelli, higher education is associated with the cultural capital of the family and with the possibilities of young people having access to quality high school education. Because of this, levels of abandonment are high, particularly for young people from lower-income socioeconomic sectors.</t>
  </si>
  <si>
    <t xml:space="preserve">However, as García de Fanelli (2014, p. 290) points out, levels of abandonment are high, particularly for young people from lower-income socioeconomic sectors, given that "[higher education] is associated with the cultural capital of the family and with the possibilities of young people having access to quality high school education".</t>
  </si>
  <si>
    <t xml:space="preserve">The answer directly restates the evidence's causal explanation (family cultural capital and access to quality high school education) and attributes it to García de Fanelli. | The question is self-contained and clearly asks about the causes of dropout among lower-income youth in Argentine higher education. | value: It concerns the institutional equity context of higher education but is narrow and not about AI.</t>
  </si>
  <si>
    <t xml:space="preserve">Why do lower-income young people in Argentina continue to drop out of higher education at high levels?</t>
  </si>
  <si>
    <t xml:space="preserve">What accounts for the continued high dropout rates in Argentine higher education among young people from lower-income sectors?</t>
  </si>
  <si>
    <t xml:space="preserve">budd-l-hall-rajesh-2021-socially-responsible:0027:q1</t>
  </si>
  <si>
    <t xml:space="preserve">Why do Brazilian higher education institutions differ so much and why do the students who access them face unequal conditions?</t>
  </si>
  <si>
    <t xml:space="preserve">The historical evolution of Brazil's national higher education system was marked by structuring inequalities in the country's economic, social and cultural formation. These inequalities were decisive in the complexity and heterogeneity of institutions and in the inequality of the students who accessed that level of schooling.</t>
  </si>
  <si>
    <t xml:space="preserve">Higher education in Brazil began late, compared to other Latin American countries. The establishment of the first university, the University of Brazil, dates back to 1920. The historical evolution of the national system of higher education was marked by the structuring inequalities in Brazil's economic, social and cultural formation, which were decisive in the complexity and heterogeneity of institutions and in the inequality of the students who accessed that level of schooling.</t>
  </si>
  <si>
    <t xml:space="preserve">Both sentences of the answer directly restate the evidence's claim that structuring inequalities in Brazil's economic, social and cultural formation shaped institutional heterogeneity and student inequality. | The question names Brazil and higher education explicitly and does not refer to any unseen source. | value: This is institutional context for higher education, but it is narrow and not specifically about AI.</t>
  </si>
  <si>
    <t xml:space="preserve">What historical factor made Brazil's higher education institutions complex and heterogeneous and its students unequal?</t>
  </si>
  <si>
    <t xml:space="preserve">How did Brazil's historical formation lead to institutional heterogeneity and unequal student access in higher education?</t>
  </si>
  <si>
    <t xml:space="preserve">budd-l-hall-rajesh-2021-socially-responsible:0027:q2</t>
  </si>
  <si>
    <t xml:space="preserve">How are Brazilian higher education institutions divided between public and private types?</t>
  </si>
  <si>
    <t xml:space="preserve">Public institutions (federal, state or municipal) belong to the state, and registration in them is free of charge, as determined by the Federal Constitution of 1988. Private institutions may be for-profit or non-profit, or even denominational.</t>
  </si>
  <si>
    <t xml:space="preserve">Public institutions (federal, state or municipal) belong to the state, and registrations to it are free of charge, as determined in the Federal Constitution of 1988, while private institutions may be for-profit or non-profit (or even denominational).</t>
  </si>
  <si>
    <t xml:space="preserve">Every statement in the answer is directly stated in the evidence: public types, free enrollment under the 1988 Constitution, and the private for-profit, non-profit and denominational types. | The question names Brazil and the topic explicitly and does not depend on any unseen source. | value: This is institutional context relevant to higher education, but it is narrow and not about AI.</t>
  </si>
  <si>
    <t xml:space="preserve">What are the categories of public and private higher education institutions in Brazil?</t>
  </si>
  <si>
    <t xml:space="preserve">In Brazil, how is the higher education sector split between public and private institutions?</t>
  </si>
  <si>
    <t xml:space="preserve">budd-l-hall-rajesh-2021-socially-responsible:0027:q3</t>
  </si>
  <si>
    <t xml:space="preserve">What does Article 130 of Peru's Law 30220 require every university to create?</t>
  </si>
  <si>
    <t xml:space="preserve">Article 130 obliges every Peruvian university to create a University Social Service Programme (Programa de Servicio Social Universitario). Through it, students apply knowledge in a way that improves the quality of life of people in traditionally marginalised groups.</t>
  </si>
  <si>
    <t xml:space="preserve">Article 130 establishes the obligation to implement SRHEI. Per this article, every university should create a Programa de Servicio Social Universitario (University Social Service Programme), through which students apply knowledge in a way that improves the quality of life of people in traditionally marginalised groups.</t>
  </si>
  <si>
    <t xml:space="preserve">The answer restates the evidence closely; 'obliges' slightly strengthens the evidence's 'should', which is trivial given the article establishes an obligation. | The question names the specific law and article and does not rely on unseen context. | value: This is a narrow, country-specific legal detail about university social responsibility, not about AI directly.</t>
  </si>
  <si>
    <t xml:space="preserve">Under Article 130 of Peru's Law 30220, what programme must each university set up?</t>
  </si>
  <si>
    <t xml:space="preserve">Which programme does Article 130 of Peruvian Law 30220 oblige all universities to implement?</t>
  </si>
  <si>
    <t xml:space="preserve">budd-l-hall-rajesh-2021-socially-responsible:0118:q0</t>
  </si>
  <si>
    <t xml:space="preserve">What did a 2018 study by the Latin American Social Responsibility in Higher Education Union (URSULA) find about how Peruvian universities executed socially responsible initiatives?</t>
  </si>
  <si>
    <t xml:space="preserve">A 2018 study by the Latin American Social Responsibility in Higher Education Union (URSULA) found that all 18 Peruvian universities surveyed had difficulty executing socially responsible initiatives, with results below the regional average.</t>
  </si>
  <si>
    <t xml:space="preserve">In fact, a 2018 study by Unión de Responsabilidad Social Universitaria Latinoamericana - URSULA (Latin American Social Responsibility in Higher Education Union) found that all 18 Peruvian universities surveyed had difficulty in executing socially responsible initiatives, with results below the regional average (p. 17).</t>
  </si>
  <si>
    <t xml:space="preserve">leadership_strategy</t>
  </si>
  <si>
    <t xml:space="preserve">The answer restates the evidence exactly: all 18 Peruvian universities surveyed had difficulty, with results below the regional average. | The question names the specific study and organization by its content, so it is clear without the source. | value: It is a narrow, region-specific finding about university social responsibility and is only tangentially about AI.</t>
  </si>
  <si>
    <t xml:space="preserve">What were the findings of the 2018 Latin American Social Responsibility in Higher Education Union (URSULA) study on Peruvian universities' execution of socially responsible initiatives?</t>
  </si>
  <si>
    <t xml:space="preserve">What was the finding of the Latin American Social Responsibility in Higher Education Union (URSULA) in its 2018 study regarding the way Peruvian universities carried out socially responsible initiatives?</t>
  </si>
  <si>
    <t xml:space="preserve">budd-l-hall-rajesh-2021-socially-responsible:0118:q2</t>
  </si>
  <si>
    <t xml:space="preserve">A Peruvian university plans to meet its legal duties under Law 30220 only by managing the impact of its operations, as in Article 124. Would this satisfy the Act, given the principles and obligations in Articles 5, 6 and 130?</t>
  </si>
  <si>
    <t xml:space="preserve">Scholars analysing Law 30220 posit that the Act obliges all universities to construct all their programmes with a social responsibility component. They argue that a university focusing strictly on managing impact, as per Article 124 read on its own, would not be compliant with the principles and obligations set out in Articles 5, 6 and 130. Articles 5 and 6 make pluralism, inclusion, intercultural dialogue and commitment to the country's development guiding principles, and Article 130 obliges every university to create a University Social Service Programme.</t>
  </si>
  <si>
    <t xml:space="preserve">Taking the values set out in Articles 5 and 6 as a starting point, we posit that the Act in fact obliges all universities to construct all their programmes with a social responsibility component. This because if a university were to focus strictly on managing impact, as per article 124 of the Act read on its own, it would not be compliant of the principles and obligations set out in Articles 5, 6 and 130. … Articles 5 and 6 establish that pluralism, inclusion, intercultural dialogue and commitment to the country's development are the guiding principles of higher education, and universities should strive to interact with the community and engage in socially relevant teaching and research. … Article 130 establishes the obligation to implement SRHEI. Per this article, every university should create a Programa de Servicio Social Universitario (University Social Service Programme), through which students apply knowledge in a way that improves the quality of life of people in traditionally marginalised groups.</t>
  </si>
  <si>
    <t xml:space="preserve">Socially Responsible Higher Education, pp. 219-220</t>
  </si>
  <si>
    <t xml:space="preserve">Every statement in the answer is directly stated in the evidence. This covers the claim that all programmes need a social responsibility component, the non-compliance of a strict impact-management approach, the guiding principles in Articles 5 and 6, and the University Social Service Programme required by Article 130. | The question names Law 30220 and the specific articles. It is understandable without having seen the source. | value: This is useful but somewhat jurisdiction-specific knowledge about how Peruvian law frames university social responsibility.</t>
  </si>
  <si>
    <t xml:space="preserve">If a university in Peru focuses strictly on impact management under Article 124 of Law 30220, would that comply with the Act's principles and obligations in Articles 5, 6 and 130?</t>
  </si>
  <si>
    <t xml:space="preserve">Would a Peruvian university that relies solely on managing its impact per Article 124 of Law 30220 be compliant, considering Articles 5, 6 and 130?</t>
  </si>
  <si>
    <t xml:space="preserve">budd-l-hall-rajesh-2021-socially-responsible:0118:q3</t>
  </si>
  <si>
    <t xml:space="preserve">Why has implementation of the social responsibility obligations in Peru's Law 30220 been uneven and difficult?</t>
  </si>
  <si>
    <t xml:space="preserve">This may be due in large part to the lack of further regulations, policies or government-sponsored programmes accompanying the Act. Universities without the necessary expertise or resources to create or enhance such programmes received no state-sponsored support.</t>
  </si>
  <si>
    <t xml:space="preserve">However, the obligations set out in the Act have had a disparate and difficult implementation. This may be due in large part to the lack of further regulations, policies or government sponsored programmes to accompany the Act. Where universities did not have the necessary expertise or resources to create or enhance SRHEI programmes within their institutions, there was no statesponsored support for their implementation.</t>
  </si>
  <si>
    <t xml:space="preserve">The answer restates the evidence closely, with only minor rewording (e.g., 'such programmes' for SRHEI programmes). | The question names Peru's Law 30220 and its social responsibility obligations explicitly and does not rely on any unseen source. | value: University social responsibility policy is relevant institutional context, but this is a narrow, country-specific point that is not about AI.</t>
  </si>
  <si>
    <t xml:space="preserve">What is the main suggested reason for the disparate and difficult implementation of Law 30220's social responsibility obligations in Peru?</t>
  </si>
  <si>
    <t xml:space="preserve">Why have Peruvian universities struggled to implement the social responsibility duties set by Law 30220?</t>
  </si>
  <si>
    <t xml:space="preserve">budd-l-hall-rajesh-2021-socially-responsible:0118:q4</t>
  </si>
  <si>
    <t xml:space="preserve">How are the top 300 universities in the Times Higher Education World University Rankings distributed geographically?</t>
  </si>
  <si>
    <t xml:space="preserve">Of the purportedly top 300 universities, 270 (90%) are located in Europe, North America, Australia and New Zealand. Of the remainder, 25 are from a small number of East Asian countries and only 5 are from the rest of the world. The entire continent of Africa is represented by three institutions, all in South Africa, and there is only one university from the whole of Latin America, one from the Middle East, and none from Central Asia.</t>
  </si>
  <si>
    <t xml:space="preserve">Taking the Times Higher Education (THE) World University Rankings (THE, 2020) as an example, of the purportedly 'top 300' universities in the world, 270 (90%) are located in Europe, North America, Australia and New Zealand. Of the remainder, 25 are from a small number of East Asian countries and there are only 5 from the rest of the world. … The entire continent of Africa is represented by three institutions, all of which are in South Africa. There is only one university from the whole of Latin America, one from the Middle East, and not a single institution from Central Asia.</t>
  </si>
  <si>
    <t xml:space="preserve">Socially Responsible Higher Education, p. 95</t>
  </si>
  <si>
    <t xml:space="preserve">Every figure and claim in the answer is stated directly in the evidence, with only minor rewording. | The question names the specific ranking explicitly and needs no other context, though it omits the 2020 edition year. | value: It illustrates global inequity in higher education rankings, which is relevant context but a fairly specific data point.</t>
  </si>
  <si>
    <t xml:space="preserve">What does the geographic distribution of the top 300 universities in the Times Higher Education World University Rankings look like?</t>
  </si>
  <si>
    <t xml:space="preserve">In the Times Higher Education World University Rankings, where are the top 300 universities located?</t>
  </si>
  <si>
    <t xml:space="preserve">budd-l-hall-rajesh-2021-socially-responsible:0055:q0</t>
  </si>
  <si>
    <t xml:space="preserve">A university leader in Nairobi is told that global rankings are a neutral measure of quality and that their institution should simply accept its absence from the top. What do the Times Higher Education rankings' geographic patterns and the message they imply say about this claim?</t>
  </si>
  <si>
    <t xml:space="preserve">In the Times Higher Education rankings, the whole of Africa is represented by only three institutions, all in South Africa, and the ARWU and QS rankings are only a few percentage points more geographically inclusive. The message these rankings send is that 'world class' status, quality or excellence are highly concentrated in specific places and, by implication, not present in others.</t>
  </si>
  <si>
    <t xml:space="preserve">The entire continent of Africa is represented by three institutions, all of which are in South Africa. There is only one university from the whole of Latin America, one from the Middle East, and not a single institution from Central Asia. … THE is not alone in this bias - the Academic Ranking of World Universities (ARWU, 2019) and QS World University Rankings (QS, 2019) are more geographically inclusive, but only by a few percentage points. … The message seems clear - 'world class' status, 'quality', or 'excellence' are highly concentrated in specific places. It is therefore, by implication, not present in others.</t>
  </si>
  <si>
    <t xml:space="preserve">Socially Responsible Higher Education, pp. 95-96</t>
  </si>
  <si>
    <t xml:space="preserve">Every statement is in the evidence. Tying the Africa count to Times Higher Education specifically is inferred from 'THE is not alone in this bias' rather than stated outright. | The scenario is self-contained and names the Times Higher Education rankings explicitly, with no reference to an unseen source. | value: It covers a useful critique of geographic bias in global university rankings and its implications for institutions outside the top.</t>
  </si>
  <si>
    <t xml:space="preserve">A Kenyan university leader hears that world rankings neutrally measure quality and that being absent from the top is just a fact. What do the geographic patterns of the Times Higher Education rankings and their implied message say about it?</t>
  </si>
  <si>
    <t xml:space="preserve">A Nairobi university leader hears that global rankings objectively measure quality and that the institution should just accept not being near the top. What do the geographic patterns in the Times Higher Education rankings, and the message they imply, say about that claim?</t>
  </si>
  <si>
    <t xml:space="preserve">budd-l-hall-rajesh-2021-socially-responsible:0055:q1</t>
  </si>
  <si>
    <t xml:space="preserve">In critiques of global university rankings such as the Times Higher Education World University Rankings, what does it mean to say that rankings are a question of sovereignty and control?</t>
  </si>
  <si>
    <t xml:space="preserve">It means that the balance of power, and therefore status and funding, rests in the hands of a small minority of majority white countries and institutions.</t>
  </si>
  <si>
    <t xml:space="preserve">As we will see, rankings are a question of sovereignty, of control, where the balance of power - and therefore status and funding - rests in the hands of a small minority of majority white countries and institutions.</t>
  </si>
  <si>
    <t xml:space="preserve">The answer restates the evidence almost verbatim: the balance of power, and therefore status and funding, rests with a small minority of majority white countries and institutions. | The question names the topic (critiques of global university rankings such as the Times Higher Education rankings) and needs no unseen source to be understood. | value: It is relevant institutional context about higher education power structures, but only loosely tied to AI and fairly narrow.</t>
  </si>
  <si>
    <t xml:space="preserve">What is meant by describing global university rankings as a matter of sovereignty and control?</t>
  </si>
  <si>
    <t xml:space="preserve">When global university rankings are called a question of sovereignty and control, what does that claim mean?</t>
  </si>
  <si>
    <t xml:space="preserve">budd-l-hall-rajesh-2021-socially-responsible:0055:q3</t>
  </si>
  <si>
    <t xml:space="preserve">What is the message about 'world class' status that global university rankings imply, given how concentrated their top universities are?</t>
  </si>
  <si>
    <t xml:space="preserve">The message seems to be that 'world class' status, quality or excellence are highly concentrated in specific places. By implication, they are not present in others.</t>
  </si>
  <si>
    <t xml:space="preserve">The message seems clear - 'world class' status, 'quality', or 'excellence' are highly concentrated in specific places. It is therefore, by implication, not present in others.</t>
  </si>
  <si>
    <t xml:space="preserve">The answer closely restates the evidence, changing only 'seems clear' to 'seems'. That is trivial rewording. | The question names global university rankings and their concentration. It does not depend on any unseen source. | value: It gives a useful critical insight into global rankings in higher education, though it is only loosely tied to AI.</t>
  </si>
  <si>
    <t xml:space="preserve">What do global university rankings imply about where 'world class' quality or excellence is found?</t>
  </si>
  <si>
    <t xml:space="preserve">Given how concentrated the top universities in global rankings are, what message do those rankings convey about what counts as 'world class' status?</t>
  </si>
  <si>
    <t xml:space="preserve">budd-l-hall-rajesh-2021-socially-responsible:0055:q4</t>
  </si>
  <si>
    <t xml:space="preserve">A university is deploying an AI system that handles student financial aid records, and it wants the system's decisions to be trustworthy without exposing sensitive financial data. What approaches can it use to balance transparency and confidentiality?</t>
  </si>
  <si>
    <t xml:space="preserve">Data masking can be used, which conceals confidential information in a way that does not affect the overall outcome of the decision-making process, helping the system stay transparent while protecting confidential data. Another approach is to use explainable AI models that explain the system's decisions without revealing confidential data.</t>
  </si>
  <si>
    <t xml:space="preserve">This can be achieved through techniques such as data masking, where confidential information is concealed in a way that does not affect the overall outcome of the decisionmaking process. … Another approach is to use explainable AI models that provide an explanation for the decisions made by the system without revealing confidential data [94, 95].</t>
  </si>
  <si>
    <t xml:space="preserve">Both techniques, data masking and explainable AI, are stated in the evidence. The phrase "helping the system stay transparent while protecting confidential data" is a minor connective gloss implied by the context. | The question sets up a self-contained scenario and does not refer to any source. | value: These are useful, practical techniques for balancing transparency and privacy in AI systems used in higher education.</t>
  </si>
  <si>
    <t xml:space="preserve">A university's AI system processes sensitive student financial aid data. How can the institution remain transparent about decisions while keeping that data confidential?</t>
  </si>
  <si>
    <t xml:space="preserve">What techniques can a university use so that an AI system working with confidential student financial records stays transparent while protecting the data?</t>
  </si>
  <si>
    <t xml:space="preserve">towards-ethical:0051:q0</t>
  </si>
  <si>
    <t xml:space="preserve">Why does the required level of transparency in an AI system depend on the context in which it is used?</t>
  </si>
  <si>
    <t xml:space="preserve">The level of transparency required varies with context. In areas such as medical diagnosis or financial decision-making, a high level of transparency may be necessary to build trust and ensure accountability. In areas such as national security or defense, confidentiality may be paramount, and transparency may need to be limited to protect sensitive information.</t>
  </si>
  <si>
    <t xml:space="preserve">For example, the level of transparency required may vary depending on the context in which the AI system is used. In some cases, such as medical diagnosis or financial decision-making, a high level of transparency may be necessary to build trust and ensure accountability. In other cases, such as national security or defense, confidentiality may be paramount, and transparency may need to be limited to protect sensitive information [1, 9, 12].</t>
  </si>
  <si>
    <t xml:space="preserve">Every statement in the answer closely restates the evidence. This covers the context-dependence of transparency, the medical and financial examples tied to trust and accountability, and the security and defense examples tied to confidentiality. | The question is self-contained and makes no reference to a source. | value: It is useful responsible-AI knowledge about the context-dependent trade-offs of transparency.</t>
  </si>
  <si>
    <t xml:space="preserve">Why can transparency requirements for AI differ from one application setting to another?</t>
  </si>
  <si>
    <t xml:space="preserve">How does the context of use change how much transparency an AI system needs?</t>
  </si>
  <si>
    <t xml:space="preserve">towards-ethical:0051:q1</t>
  </si>
  <si>
    <t xml:space="preserve">Why is it essential to establish clear guidelines and standards for confidentiality and transparency in AI development and deployment?</t>
  </si>
  <si>
    <t xml:space="preserve">The definition of what constitutes confidential information may vary depending on the stakeholders involved. What a company considers confidential may differ from what a regulatory body or the public considers confidential. Therefore, clear guidelines and standards for confidentiality and transparency should be established in the development and deployment of AI systems.</t>
  </si>
  <si>
    <t xml:space="preserve">Another challenge is that the definition of what constitutes confidential information may vary depending on the stakeholders involved [96]. For example, what is considered confidential information by a company may be different from what is considered confidential information by a regulatory body or the public. Therefore, it is essential to establish clear guidelines and standards for confidentiality and transparency in the development and deployment of AI systems [97, 98].</t>
  </si>
  <si>
    <t xml:space="preserve">Every statement in the answer is directly stated in the evidence, with only minor rewording. | The question is self-contained and needs no reference to the source. | value: It covers a useful responsible-AI governance point about confidentiality versus transparency across stakeholders.</t>
  </si>
  <si>
    <t xml:space="preserve">Why do AI systems need clear standards on confidentiality and transparency?</t>
  </si>
  <si>
    <t xml:space="preserve">What challenge makes clear confidentiality and transparency guidelines necessary for AI systems?</t>
  </si>
  <si>
    <t xml:space="preserve">towards-ethical:0051:q3</t>
  </si>
  <si>
    <t xml:space="preserve">Why do ethical and social responsibility practices matter for AI accountability beyond legal compliance?</t>
  </si>
  <si>
    <t xml:space="preserve">Beyond legal requirements, ethical and social responsibility considerations are paramount in AI development. Ethical guidelines and practices enhance accountability by addressing the broader societal impact of AI technologies.</t>
  </si>
  <si>
    <t xml:space="preserve">The answer reproduces the evidence verbatim, so every statement is directly supported. | The question is self-contained and refers to no unseen source or context. | value: It covers a useful responsible-AI concept about accountability beyond legal compliance, though the treatment is fairly generic.</t>
  </si>
  <si>
    <t xml:space="preserve">In what way do ethics and social responsibility considerations strengthen AI accountability beyond what the law requires?</t>
  </si>
  <si>
    <t xml:space="preserve">Beyond meeting legal requirements, what is the importance of ethical and social responsibility practices for holding AI accountable?</t>
  </si>
  <si>
    <t xml:space="preserve">towards-ethical:0090:q1</t>
  </si>
  <si>
    <t xml:space="preserve">A university's AI office wants to build ethical accountability into its AI projects. Which practices for assessing impacts and preparing staff apply?</t>
  </si>
  <si>
    <t xml:space="preserve">It should conduct ethical impact assessments to evaluate how AI systems may affect different societal groups, assessing potential risks and benefits and taking steps to minimize harm. It should also provide AI ethics training to developers, data scientists, and decision-makers involved in AI projects, fostering a culture of ethical awareness and responsibility within the organization.</t>
  </si>
  <si>
    <t xml:space="preserve">Ethical Impact Assessment: Conduct ethical impact assessments to evaluate how AI systems may affect different societal groups. Assess potential risks and benefits and take steps to minimize harm. … AI Ethics Training: Provide AI ethics training to developers, data scientists, and decision-makers involved in AI projects. Foster a culture of ethical awareness and responsibility within the organization.</t>
  </si>
  <si>
    <t xml:space="preserve">Every statement in the answer is taken almost verbatim from the evidence on ethical impact assessments and AI ethics training. | The question names a clear scenario and asks for specific practices without referring to any unseen source. | value: Concrete responsible-AI governance practices that are relevant to university AI offices.</t>
  </si>
  <si>
    <t xml:space="preserve">What ethical accountability practices on impact assessment and staff preparation should a university AI office adopt for its AI projects?</t>
  </si>
  <si>
    <t xml:space="preserve">A university AI office aims to embed ethical accountability in its AI work. What should it do regarding impact assessment and training?</t>
  </si>
  <si>
    <t xml:space="preserve">towards-ethical:0090:q2</t>
  </si>
  <si>
    <t xml:space="preserve">What three elements does accountability in AI development and deployment encompass?</t>
  </si>
  <si>
    <t xml:space="preserve">Accountability is a fundamental principle in the development and deployment of AI systems. It encompasses legal and regulatory compliance, ethical considerations, and defining liability and responsibility.</t>
  </si>
  <si>
    <t xml:space="preserve">Accountability is a fundamental principle in the development and deployment of AI systems. It encompasses legal and regulatory compliance, ethical considerations, and defining liability and responsibility [4, 9, 12, 14, 27].</t>
  </si>
  <si>
    <t xml:space="preserve">Towards Ethical and Socially Responsible Explainable AI, p. 171</t>
  </si>
  <si>
    <t xml:space="preserve">The answer restates the evidence verbatim, without adding any claims. | The question is self-contained and does not refer to any unseen source. | value: It covers a core responsible-AI principle, though the list is fairly specific.</t>
  </si>
  <si>
    <t xml:space="preserve">In the development and deployment of AI, what are the three components that make up accountability?</t>
  </si>
  <si>
    <t xml:space="preserve">Accountability in AI development and deployment is made up of which three elements?</t>
  </si>
  <si>
    <t xml:space="preserve">towards-ethical:0090:q3</t>
  </si>
  <si>
    <t xml:space="preserve">Why does the PAGER scoping review of ChatGPT in nursing education say that developing technical and ethical competencies is crucial?</t>
  </si>
  <si>
    <t xml:space="preserve">Developing technical and ethical competencies is crucial especially for upholding academic integrity and ensuring equitable student access. Systematic documentation and evaluation of implementation experiences will contribute to developing best practices, and cross-institutional collaboration should be encouraged to share strategies and lessons learned.</t>
  </si>
  <si>
    <t xml:space="preserve">Systematic documentation and evaluation of implementation experiences will contribute to developing best practices. Developing technical and ethical competencies is crucial, especially for upholding academic integrity and ensuring equitable student access. Cross-institutional collaboration should be encouraged to share implementation strategies and lessons learned.</t>
  </si>
  <si>
    <t xml:space="preserve">Every statement in the answer restates the evidence nearly verbatim. The extra points on documentation and cross-institutional collaboration are also stated in the evidence, though they go beyond the question. | The question names a specific study, the PAGER scoping review of ChatGPT in nursing education, by its content, so a reader without the source understands what is asked. | value: It gives a useful recommendation linking AI competencies to academic integrity and equitable access.</t>
  </si>
  <si>
    <t xml:space="preserve">What is the reason the PAGER scoping review of ChatGPT in nursing education gives for the importance of developing technical and ethical competencies?</t>
  </si>
  <si>
    <t xml:space="preserve">In the PAGER scoping review of ChatGPT in nursing education, why is building technical and ethical competencies called crucial?</t>
  </si>
  <si>
    <t xml:space="preserve">patterns-advances-and-gaps-in-using-chatgpt-and:0016:q1</t>
  </si>
  <si>
    <t xml:space="preserve">What should a comprehensive framework for generative AI in nursing education contain, based on findings from a PAGER scoping review of GenAI in nursing education?</t>
  </si>
  <si>
    <t xml:space="preserve">It should be a comprehensive system that balances innovation with academic integrity in nursing assessment and clinical training. Such frameworks should establish clear data privacy and security standards and guidelines, and ensure compliance with educational regulations.</t>
  </si>
  <si>
    <t xml:space="preserve">The findings indicate the necessity of establishing a comprehensive system that balances innovation with academic integrity in nursing assessment and clinical training. These frameworks should establish clear data privacy and security standards guidelines and ensure compliance with educational regulations (Foronda and Porter, 2024).</t>
  </si>
  <si>
    <t xml:space="preserve">The answer restates the evidence nearly verbatim: balancing innovation with academic integrity, data privacy and security standards, and regulatory compliance. | The question names the review by its content and its PAGER framework, and needs no unseen context. Expanding the PAGER acronym would help, but the question remains understandable. | value: These are useful recommendations on governance frameworks for GenAI in nursing education.</t>
  </si>
  <si>
    <t xml:space="preserve">Which elements should a comprehensive framework for generative AI in nursing education include, per a PAGER scoping review of GenAI in nursing education?</t>
  </si>
  <si>
    <t xml:space="preserve">What components does a PAGER scoping review of GenAI in nursing education find necessary in a comprehensive generative AI framework for nursing education?</t>
  </si>
  <si>
    <t xml:space="preserve">patterns-advances-and-gaps-in-using-chatgpt-and:0016:q2</t>
  </si>
  <si>
    <t xml:space="preserve">What do the PAGER scoping review's recommendations say incentive structures for generative AI in nursing education should promote?</t>
  </si>
  <si>
    <t xml:space="preserve">Incentive structures should promote equitable access to GenAI technologies across diverse settings, with particular attention to underserved populations and low-resource settings. Targeted strategies are needed for bridging digital divides and maximising global applicability.</t>
  </si>
  <si>
    <t xml:space="preserve">To address identified disparities, incentive structures should promote equitable access to GenAI technologies across diverse settings, with particular attention to underserved populations and low-resource settings. Targeted strategies are needed for bridging digital divides and maximising global applicability.</t>
  </si>
  <si>
    <t xml:space="preserve">The answer reproduces the evidence nearly verbatim, with no added claims. | The question names a specific study (the PAGER scoping review on GenAI in nursing education) and asks a clear question about it, without relying on unseen context. | value: Equitable access to GenAI in education is a useful responsible-AI recommendation, though it is specific to nursing education.</t>
  </si>
  <si>
    <t xml:space="preserve">What goal should incentive structures for generative AI serve in nursing education, per the PAGER scoping review?</t>
  </si>
  <si>
    <t xml:space="preserve">In the PAGER scoping review of generative AI in nursing education, what outcomes do the recommended incentive structures aim to encourage?</t>
  </si>
  <si>
    <t xml:space="preserve">patterns-advances-and-gaps-in-using-chatgpt-and:0016:q3</t>
  </si>
  <si>
    <t xml:space="preserve">What kind of research does the PAGER scoping review say should be given priority when comparing generative AI with traditional nursing teaching?</t>
  </si>
  <si>
    <t xml:space="preserve">Comparative effectiveness research between AI-enhanced and conventional teaching methods should be given priority. Longitudinal studies are also needed to evaluate the impact of GenAI use on student outcomes and ethical decision-making.</t>
  </si>
  <si>
    <t xml:space="preserve">Longitudinal studies are needed to evaluate the impact of GenAI use on student outcomes and ethical decision-making. Comparative effectiveness research between AI-enhanced and conventional teaching methods should be given priority.</t>
  </si>
  <si>
    <t xml:space="preserve">Both statements are taken directly from the evidence. | The question names the PAGER scoping review and asks a clear question without presupposing unseen context. | value: It is a useful research-priority recommendation on generative AI in nursing education.</t>
  </si>
  <si>
    <t xml:space="preserve">Which type of research does the PAGER scoping review say should be prioritised regarding AI-enhanced versus conventional nursing teaching?</t>
  </si>
  <si>
    <t xml:space="preserve">Which type of research should be prioritized, as the PAGER scoping review sees it, when generative AI is compared against traditional approaches to teaching nursing?</t>
  </si>
  <si>
    <t xml:space="preserve">patterns-advances-and-gaps-in-using-chatgpt-and:0016:q4</t>
  </si>
  <si>
    <t xml:space="preserve">How do studies in the PAGER scoping review of GenAI in nursing education suggest balancing innovation with established teaching when integrating AI into the curriculum?</t>
  </si>
  <si>
    <t xml:space="preserve">Studies recommend systematically integrating AI into nursing education while preserving traditional teaching methods. Balance between innovation and established pedagogical practices is maintained through ethics and data literacy integration. Such integration can also strengthen student writing skills.</t>
  </si>
  <si>
    <t xml:space="preserve">Moving from training to curriculum design, studies recommend systematically integrating AI into nursing education while preserving traditional teaching methods, noting that such integration can strengthen student writing skills (Parker et al., 2023) while maintaining balance between innovation and established pedagogical practices through ethics and data literacy integration (Alkhaqani, 2023a; Allen and Woodnutt, 2023; Castonguay et al., 2023; De Gagne et al., 2024).</t>
  </si>
  <si>
    <t xml:space="preserve">Every statement in the answer is directly stated in the evidence: systematic integration while preserving traditional methods, balance through ethics and data literacy integration, and strengthened writing skills. | The question names the PAGER scoping review of GenAI in nursing education by its content, so it is understandable without the source. The acronyms PAGER and GenAI are common enough in context. | value: It gives a useful recommendation on integrating AI into a nursing curriculum while keeping established pedagogy.</t>
  </si>
  <si>
    <t xml:space="preserve">What do nursing education studies in the PAGER scoping review recommend for integrating AI into the curriculum while keeping established pedagogy?</t>
  </si>
  <si>
    <t xml:space="preserve">In the PAGER scoping review, how should AI be integrated into nursing education so that innovation and established pedagogical practice stay balanced?</t>
  </si>
  <si>
    <t xml:space="preserve">patterns-advances-and-gaps-in-using-chatgpt-and:0013:q1</t>
  </si>
  <si>
    <t xml:space="preserve">A nursing school wants to launch short-term training on generative AI and to set rules for its use in research. What should a 2025 scoping review of generative AI in nursing education say the training focuses on, and what kind of policy guidance does it call for?</t>
  </si>
  <si>
    <t xml:space="preserve">Short-term training should focus on developing AI literacy and digital proficiency among faculty and students, with prompt engineering as an essential curriculum component. Policy recommendations call for clear standards for AI implementation through comprehensive guidelines with regular updates. These include ethical protocols for AI in qualitative and mixed-methods research that address academic integrity and ensure transparent GenAI use.</t>
  </si>
  <si>
    <t xml:space="preserve">Short-term training initiatives should focus on developing AI literacy and digital proficiency among faculty and students, incorporating prompt engineering as an essential curriculum component (O'Connor et al., 2024). … Policy recommendations highlight the importance of establishing clear standards for AI implementation through comprehensive guideline development with regular updates. This includes developing ethical protocols for AI implementation in qualitative and mixed-methods research (Lyon, 2023) that address academic integrity and ensure transparent GenAI use (Abdulai and Hung, 2023; Abujaber et al., 2023; Alkhaqani, 2023a,b).</t>
  </si>
  <si>
    <t xml:space="preserve">Every statement in the answer closely restates the evidence: the training focus, prompt engineering, regularly updated guidelines, and ethical protocols for research. | The question identifies the source by its content (a 2025 scoping review of generative AI in nursing education) and gives the scenario, so it is understandable without seeing the source. | value: These are useful, actionable recommendations on AI literacy training and AI policy in nursing education.</t>
  </si>
  <si>
    <t xml:space="preserve">A nursing school is preparing brief generative AI training sessions and wants rules governing AI use in research. According to a 2025 scoping review of generative AI in nursing education, what should the training concentrate on and what policy guidance is needed?</t>
  </si>
  <si>
    <t xml:space="preserve">If a nursing school sets up short-term generative AI training and research-use policies, what does a 2025 scoping review of generative AI in nursing education say the training should focus on, and what policy guidance does it call for?</t>
  </si>
  <si>
    <t xml:space="preserve">patterns-advances-and-gaps-in-using-chatgpt-and:0013:q3</t>
  </si>
  <si>
    <t xml:space="preserve">borderline</t>
  </si>
  <si>
    <t xml:space="preserve">unclear</t>
  </si>
  <si>
    <t xml:space="preserve">Repaired question is ungrammatical ('What should a 2025 scoping review ... say').</t>
  </si>
  <si>
    <t xml:space="preserve">What do institutional recommendations in the PAGER scoping review say about equity and access in GenAI for nursing education, and what do they aim to achieve?</t>
  </si>
  <si>
    <t xml:space="preserve">Institutional recommendations include developing policies and inclusive tools to ensure equity, access, and support for diverse user needs. This is intended to reduce language barriers and improve geographic access to resources.</t>
  </si>
  <si>
    <t xml:space="preserve">Beyond technical aspects, institutional recommendations include developing policies and inclusive tools to ensure equity, access, and support for diverse user needs (Abujaber et al., 2023), thereby reducing language barriers and improving geographic access to resources (Abujaber et al., 2023; Fontenot, 2023; Hsu, 2023; Huh, 2023).</t>
  </si>
  <si>
    <t xml:space="preserve">Both statements in the answer are taken directly from the evidence sentence. | The question names the PAGER scoping review by content and is clear without seeing the source; 'GenAI' is a common abbreviation. | value: Useful recommendation on equity and access in AI use for nursing education.</t>
  </si>
  <si>
    <t xml:space="preserve">Regarding equity and access to GenAI in nursing education, what do the institutional recommendations in the PAGER scoping review state, and what goals do they aim to achieve?</t>
  </si>
  <si>
    <t xml:space="preserve">What do the PAGER scoping review's institutional recommendations propose on equity and access for GenAI in nursing education, and what are they intended to accomplish?</t>
  </si>
  <si>
    <t xml:space="preserve">patterns-advances-and-gaps-in-using-chatgpt-and:0013:q4</t>
  </si>
  <si>
    <t xml:space="preserve">What four major domains of generative AI use in entrepreneurship education were identified in a systematic review of 50 peer-reviewed articles?</t>
  </si>
  <si>
    <t xml:space="preserve">The four domains were personalized and adaptive instruction, simulation-based entrepreneurial training, ethical and psychological concerns, and ecosystem integration through intelligent systems.</t>
  </si>
  <si>
    <t xml:space="preserve">The findings reveal four major domains in GAIenabled EE: personalized and adaptive instruction, simulation-based entrepreneurial training, ethical and psychological concerns, and ecosystem integration through intelligent systems.</t>
  </si>
  <si>
    <t xml:space="preserve">Toward understanding the role of generative AI in entrepreneurship education: A systematic review, p. 1</t>
  </si>
  <si>
    <t xml:space="preserve">The answer lists exactly the four domains stated in the evidence. The '50 articles' detail appears only in the question, not in the answer. | The question identifies the study by its content (a systematic review of 50 peer-reviewed articles) and uses no source-dependent phrasing or undefined acronyms. | value: It is a useful framework for generative AI use in entrepreneurship education, though somewhat specific.</t>
  </si>
  <si>
    <t xml:space="preserve">Which four domains of generative AI use in entrepreneurship education emerged from a systematic review of 50 peer-reviewed articles?</t>
  </si>
  <si>
    <t xml:space="preserve">A systematic review of 50 peer-reviewed articles on generative AI in entrepreneurship education found which four major domains?</t>
  </si>
  <si>
    <t xml:space="preserve">toward-understanding-the-role-of-generative-ai:0000:q0</t>
  </si>
  <si>
    <t xml:space="preserve">A business school is redesigning its entrepreneurship curriculum to include generative AI tools. Beyond teaching students to use the tools well, what capacities should the curriculum aim to foster?</t>
  </si>
  <si>
    <t xml:space="preserve">A systematic review of generative AI in entrepreneurship education advocates designing curricula that foster not only technical proficiency but also critical thinking, creativity, and ethical reasoning.</t>
  </si>
  <si>
    <t xml:space="preserve">It advocates for designing GAI-integrated curricula that foster not only technical proficiency but also critical thinking, creativity, and ethical reasoning.</t>
  </si>
  <si>
    <t xml:space="preserve">The capacities listed match the evidence. However, attributing them to 'a systematic review of generative AI in entrepreneurship education' adds a source description the quoted evidence does not give; it only says 'It'. | The question sets up a self-contained scenario and does not refer to any unseen source. | value: A useful curriculum-design recommendation for integrating AI responsibly in higher education.</t>
  </si>
  <si>
    <t xml:space="preserve">When a business school builds generative AI into its entrepreneurship curriculum, what should it foster in students besides technical proficiency?</t>
  </si>
  <si>
    <t xml:space="preserve">A university adds generative AI to its entrepreneurship courses. Besides technical skill, which capacities should the curriculum develop?</t>
  </si>
  <si>
    <t xml:space="preserve">toward-understanding-the-role-of-generative-ai:0000:q1</t>
  </si>
  <si>
    <t xml:space="preserve">A university leadership team and policymakers are planning to integrate generative AI into entrepreneurship education. What should educators, policymakers and researchers emphasize, according to a systematic review of the field?</t>
  </si>
  <si>
    <t xml:space="preserve">The review emphasizes the importance of ethical guidance, digital equity, and cross-contextual adaptability for educators, policymakers, and researchers.</t>
  </si>
  <si>
    <t xml:space="preserve">Furthermore, the study discusses actionable implications for educators, policymakers, and researchers, emphasizing the importance of ethical guidance, digital equity, and cross-contextual adaptability.</t>
  </si>
  <si>
    <t xml:space="preserve">The answer directly restates the evidence: ethical guidance, digital equity and cross-contextual adaptability, emphasized for educators, policymakers and researchers. | The question identifies the source by its content, a systematic review of generative AI in entrepreneurship education, and is understandable without the source. | value: These are useful, if general, recommendations for responsibly integrating generative AI into higher education.</t>
  </si>
  <si>
    <t xml:space="preserve">What implications does a systematic review of generative AI in entrepreneurship education have for educators, policymakers, and researchers planning its integration?</t>
  </si>
  <si>
    <t xml:space="preserve">When a university's leadership and policymakers prepare to bring generative AI into entrepreneurship education, what should educators, policymakers and researchers focus on, based on a systematic review of this area?</t>
  </si>
  <si>
    <t xml:space="preserve">toward-understanding-the-role-of-generative-ai:0000:q2</t>
  </si>
  <si>
    <t xml:space="preserve">Why is the long-term impact of generative AI on entrepreneurial competence, mindset, and outcomes considered uncertain?</t>
  </si>
  <si>
    <t xml:space="preserve">Most studies are either conceptual or limited to small-scale exploratory evidence. As a result, the long-term impact of generative AI on entrepreneurial competence, mindset, and outcomes remains uncertain and calls for empirical caution.</t>
  </si>
  <si>
    <t xml:space="preserve">Although promising use cases are identified, most studies are either conceptual or limited to small-scale exploratory evidence. As such, the longterm impact of GAI on entrepreneurial competence, mindset, and outcomes remains uncertain and calls for empirical caution.</t>
  </si>
  <si>
    <t xml:space="preserve">The answer restates the evidence almost verbatim. It notes that most studies are conceptual or small-scale exploratory, so the long-term impact remains uncertain. | The question is self-contained. It names generative AI and the specific entrepreneurial dimensions, with no reference to an unseen source. | value: It conveys a useful point about the limits of evidence on generative AI in entrepreneurship education.</t>
  </si>
  <si>
    <t xml:space="preserve">Why does the long-term effect of generative AI on entrepreneurial competence, mindset, and outcomes remain unclear?</t>
  </si>
  <si>
    <t xml:space="preserve">What is the reason that the lasting effects of generative AI on entrepreneurial competence, mindset, and outcomes remain unclear?</t>
  </si>
  <si>
    <t xml:space="preserve">toward-understanding-the-role-of-generative-ai:0000:q3</t>
  </si>
  <si>
    <t xml:space="preserve">What limitation has been noted in research on how AI may support student motivation in entrepreneurship education?</t>
  </si>
  <si>
    <t xml:space="preserve">Specific research has explored how AI may support student motivation, but it has offered limited discussion of entrepreneurship education's pedagogical models and instructional strategies.</t>
  </si>
  <si>
    <t xml:space="preserve">Likewise, specific research has explored how AI may support student motivation, but it has offered limited discussion on EE's pedagogical models and instructional strategies (Artemova, 2024).</t>
  </si>
  <si>
    <t xml:space="preserve">The answer restates the evidence directly, expanding EE to entrepreneurship education, which is a trivial clarification. | The question is clear without the source and needs no further context. | value: It identifies a narrow research gap in AI and entrepreneurship education, which is acceptable but limited.</t>
  </si>
  <si>
    <t xml:space="preserve">What gap exists in studies exploring AI support for student motivation in entrepreneurship education?</t>
  </si>
  <si>
    <t xml:space="preserve">What has research on AI and student motivation in entrepreneurship education discussed only to a limited extent?</t>
  </si>
  <si>
    <t xml:space="preserve">toward-understanding-the-role-of-generative-ai:0005:q4</t>
  </si>
  <si>
    <t xml:space="preserve">What three core dimensions through which generative AI enhances entrepreneurship education were identified in a systematic review of 50 papers?</t>
  </si>
  <si>
    <t xml:space="preserve">The review identified three core dimensions: teaching and learning, entrepreneurial capabilities, and the entrepreneurial ecosystem.</t>
  </si>
  <si>
    <t xml:space="preserve">This study systematically reviewed 50 relevant papers and identified three core dimensions of GAI enhancing EE: teaching and learning, entrepreneurial capabilities, and the entrepreneurial ecosystem.</t>
  </si>
  <si>
    <t xml:space="preserve">The answer directly restates the three dimensions named in the evidence. | The question identifies the study by its content (a systematic review of 50 papers) and uses no undefined acronyms or references to unseen context. | value: A useful framework for how generative AI supports entrepreneurship education, though somewhat specific.</t>
  </si>
  <si>
    <t xml:space="preserve">A systematic review of 50 papers on generative AI in entrepreneurship education identified which three core dimensions of enhancement?</t>
  </si>
  <si>
    <t xml:space="preserve">Which three dimensions of generative AI's enhancement of entrepreneurship education emerged from a 50-paper systematic review?</t>
  </si>
  <si>
    <t xml:space="preserve">toward-understanding-the-role-of-generative-ai:0024:q0</t>
  </si>
  <si>
    <t xml:space="preserve">A university entrepreneurship program wants students to build confidence in business model development and market analysis. What can AI-powered business plan evaluation systems offer, and what effect on students is reported?</t>
  </si>
  <si>
    <t xml:space="preserve">AI-powered business plan evaluation systems provide intelligent feedback that helps students better understand critical aspects of business model development and market analysis. This in turn increases their entrepreneurial confidence.</t>
  </si>
  <si>
    <t xml:space="preserve">For example, AI-powered business plan evaluation systems provide intelligent feedback, helping students better understand critical aspects of business model development and market analysis, thereby increasing their entrepreneurial confidence (Lesinskis et al., 2023; T. Nuseir et al., 2020).</t>
  </si>
  <si>
    <t xml:space="preserve">The answer restates the evidence almost verbatim: intelligent feedback, better understanding of business model development and market analysis, and increased entrepreneurial confidence. | The question sets up a concrete scenario and names the technology, with no reference to an unseen source. | value: This is a useful, somewhat specific application of AI feedback in entrepreneurship education.</t>
  </si>
  <si>
    <t xml:space="preserve">An entrepreneurship program at a university aims to strengthen students' confidence regarding business models and market analysis. What do AI-powered business plan evaluation systems provide, and with what reported result?</t>
  </si>
  <si>
    <t xml:space="preserve">In a university entrepreneurship program aiming to strengthen students' confidence in developing business models and analyzing markets, what do AI-powered business plan evaluation systems provide, and what impact on students has been reported?</t>
  </si>
  <si>
    <t xml:space="preserve">toward-understanding-the-role-of-generative-ai:0024:q1</t>
  </si>
  <si>
    <t xml:space="preserve">An entrepreneurship instructor is limited by class time and office hours and also wants students to make better-informed business decisions. Which AI tools and effects are reported for these needs?</t>
  </si>
  <si>
    <t xml:space="preserve">LLM-based intelligent question-answering tools remove classroom constraints related to time and instructor availability, making learning more autonomous and flexible. AI-supported data-driven market analysis and AI-powered risk assessment enable students to make more rational business decisions based on comprehensive information, improving their adaptability to market changes.</t>
  </si>
  <si>
    <t xml:space="preserve">Additionally, intelligent question-answering tools based on LLMs remove traditional classroom constraints related to time and instructor availability, making learning more autonomous and flexible (Liang &amp; Bai, 2024; Torres Ortega et al., 2025). … Furthermore, AI-supported data-driven market analysis and AI-powered risk assessment enable students to make more rational business decisions based on comprehensive information, improving their adaptability to market changes (Obschonka &amp; Audretsch, 2020; Townsend &amp; Hunt, 2019).</t>
  </si>
  <si>
    <t xml:space="preserve">Every statement in the answer directly restates the two quoted sentences about LLM-based question-answering tools, data-driven market analysis and AI-powered risk assessment. | The scenario is self-contained, and 'reported' refers generally to published findings rather than to an unseen text. | value: It covers useful, somewhat specific applications of AI in entrepreneurship education.</t>
  </si>
  <si>
    <t xml:space="preserve">How might an entrepreneurship instructor with limited class time and availability use AI to support learning and better student business decisions, according to reported findings?</t>
  </si>
  <si>
    <t xml:space="preserve">What AI tools address instructor-availability limits and improve students' business decision-making in entrepreneurship education?</t>
  </si>
  <si>
    <t xml:space="preserve">toward-understanding-the-role-of-generative-ai:0024:q4</t>
  </si>
  <si>
    <t xml:space="preserve">Why might the literature on generative AI in entrepreneurship education give a skewed picture of its effects, and what should future studies do about it?</t>
  </si>
  <si>
    <t xml:space="preserve">Publication bias may lead to an overrepresentation of generative AI's positive effects while underreporting drawbacks such as increased student dependence, academic integrity concerns, and ethical challenges. Future studies should incorporate unpublished datasets, industry reports, and real-world educational experiments to provide a more balanced perspective.</t>
  </si>
  <si>
    <t xml:space="preserve">Potential publication bias may also lead to an overrepresentation of GAI's positive effects, while underreporting its drawbacks, such as increased student dependence, concerns about academic integrity, and ethical challenges. … Future studies should incorporate unpublished datasets, industry reports, and real-world educational experiments to provide a more balanced perspective.</t>
  </si>
  <si>
    <t xml:space="preserve">Every statement in the answer is directly restated from the evidence, with no additions. | The question names its topic, generative AI in entrepreneurship education, and does not refer to any unseen source. | value: It is a useful point about evidence bias in research on AI in education and how to correct it.</t>
  </si>
  <si>
    <t xml:space="preserve">How could publication bias distort what is known about generative AI in entrepreneurship education, and what remedy should future research adopt?</t>
  </si>
  <si>
    <t xml:space="preserve">What distortion could publication bias introduce into research on generative AI in entrepreneurship education, and how should future studies counter it?</t>
  </si>
  <si>
    <t xml:space="preserve">toward-understanding-the-role-of-generative-ai:0033:q0</t>
  </si>
  <si>
    <t xml:space="preserve">Why is it uncertain whether findings on generative AI in entrepreneurship education apply beyond universities, and what research would help?</t>
  </si>
  <si>
    <t xml:space="preserve">Most reviewed studies focus on higher education, particularly at the university level, so applicability to vocational training, informal learning, or culturally diverse educational environments remains uncertain. Expanding research to include longitudinal and cross-cultural analyses would provide deeper insights into the sustained impact and adaptability of generative-AI-enabled entrepreneurship education.</t>
  </si>
  <si>
    <t xml:space="preserve">Second, the generalizability of the findings is limited by the fact that most reviewed studies focus on higher education, particularly at the university level. The applicability of these approaches to other contexts, such as vocational training, informal learning, or culturally diverse educational environments, remains uncertain. Expanding research to include longitudinal and cross-cultural analyses would provide deeper insights into the sustained impact and adaptability of GAI-enabled EE.</t>
  </si>
  <si>
    <t xml:space="preserve">Every statement in the answer is restated directly from the evidence. That covers the university focus, the uncertain applicability to vocational, informal and culturally diverse settings, and the call for longitudinal and cross-cultural research. | The question names its topic, generative AI in entrepreneurship education, by content. It does not refer to an unseen source or use undefined acronyms. | value: This is a narrow review-limitation point about research scope, though it touches on the generalizability of findings about AI in education.</t>
  </si>
  <si>
    <t xml:space="preserve">What limits the generalizability of research on generative AI in entrepreneurship education, and what kind of research would give deeper insight?</t>
  </si>
  <si>
    <t xml:space="preserve">What makes it unclear whether results about generative AI in entrepreneurship education carry over to settings outside universities, and what kind of research would address this?</t>
  </si>
  <si>
    <t xml:space="preserve">toward-understanding-the-role-of-generative-ai:0033:q1</t>
  </si>
  <si>
    <t xml:space="preserve">In research on generative-AI-enabled entrepreneurship education, what mediating and moderating factors are proposed to shape the effect of generative-AI personalized feedback on entrepreneurial intention?</t>
  </si>
  <si>
    <t xml:space="preserve">The effect of generative-AI-enabled personalized feedback on entrepreneurial intention is proposed to be mediated by entrepreneurial self-efficacy. It is proposed to be moderated by institutional support, digital literacy, and prior entrepreneurial experience.</t>
  </si>
  <si>
    <t xml:space="preserve">Research Proposition 1: The effect of GAI-enabled personalized feedback on entrepreneurial intention is mediated by entrepreneurial self-efficacy and moderated by institutional support, digital literacy, and prior entrepreneurial experience. Future studies could test this proposition using SEM and randomized controlled trials, comparing GAI-driven and traditional instructional strategies to establish causality and assess long-term outcomes.</t>
  </si>
  <si>
    <t xml:space="preserve">The answer restates the proposition exactly: entrepreneurial self-efficacy is the mediator, and institutional support, digital literacy and prior entrepreneurial experience are the moderators. | The question names its research area and its variables explicitly, so it is clear without the source. | value: This is a useful, somewhat specific research proposition about how AI feedback affects outcomes in entrepreneurship education.</t>
  </si>
  <si>
    <t xml:space="preserve">Which mediator and which moderators are proposed to govern how generative-AI personalized feedback influences students' entrepreneurial intention in entrepreneurship education?</t>
  </si>
  <si>
    <t xml:space="preserve">In generative-AI entrepreneurship education research, what variable is proposed to mediate, and what variables to moderate, the impact of AI-driven personalized feedback on entrepreneurial intention?</t>
  </si>
  <si>
    <t xml:space="preserve">toward-understanding-the-role-of-generative-ai:0033:q2</t>
  </si>
  <si>
    <t xml:space="preserve">What do the four K-12 AI curricula, three mapped by UNESCO and one developed by T. K. F. Chiu in 2021, primarily introduce to K-12 students and teachers?</t>
  </si>
  <si>
    <t xml:space="preserve">They primarily introduce basic AI concepts to K-12 students and teachers.</t>
  </si>
  <si>
    <t xml:space="preserve">Four K-12 AI curricula, three mapped by UNESCO (UNESCO, 2022; 2024a; 2024b) and the other developed by T. K. F. Chiu (2021), primarily introduce basic AI concepts to K-12 students and teachers.</t>
  </si>
  <si>
    <t xml:space="preserve">The answer directly restates the evidence: the curricula primarily introduce basic AI concepts. | The question names the curricula by content (UNESCO-mapped and Chiu 2021) without presupposing an unseen source. | value: This is an acceptable but narrow fact about the focus of K-12 AI curricula, which is tangential to higher education.</t>
  </si>
  <si>
    <t xml:space="preserve">What is the main content that four K-12 AI curricula, three mapped by UNESCO and one by Chiu (2021), introduce to K-12 students and teachers?</t>
  </si>
  <si>
    <t xml:space="preserve">What is the main content that the four K-12 AI curricula, three of which UNESCO mapped and one that T. K. F. Chiu developed in 2021, present to K-12 students and teachers?</t>
  </si>
  <si>
    <t xml:space="preserve">be-aiware-an-ai-competency-model-for-k-12:0004:q0</t>
  </si>
  <si>
    <t xml:space="preserve">Very thin answer (one short clause).</t>
  </si>
  <si>
    <t xml:space="preserve">What risks does generative AI pose for younger K-12 students who can use these tools on their own?</t>
  </si>
  <si>
    <t xml:space="preserve">Generative AI presents distinct concerns for younger students who can use the tools independently. Key issues include algorithmic bias, hallucinations (plausible but false information), and over-reliance, which can lead to inaccuracies and affect learning outcomes.</t>
  </si>
  <si>
    <t xml:space="preserve">While overlapping with general AI risks, GAI presents distinct concerns for younger students who can independently use these tools. Key issues include algorithmic bias, hallucinations (plausible but false information), and over-reliance, which can lead to inaccuracies and impact learning outcomes.</t>
  </si>
  <si>
    <t xml:space="preserve">Be AIware! An AI Competency Model for K-12 Education, p. 2</t>
  </si>
  <si>
    <t xml:space="preserve">The answer restates the evidence almost verbatim: bias, hallucinations and over-reliance leading to inaccuracies and effects on learning. | The question is clear and self-contained, and K-12 is a widely understood term. | value: The question covers relevant AI risks, but its K-12 focus sits outside the core higher-education scope.</t>
  </si>
  <si>
    <t xml:space="preserve">Which concerns arise when younger K-12 students independently use generative AI tools?</t>
  </si>
  <si>
    <t xml:space="preserve">What key issues does generative AI raise for younger school students using it independently?</t>
  </si>
  <si>
    <t xml:space="preserve">be-aiware-an-ai-competency-model-for-k-12:0002:q0</t>
  </si>
  <si>
    <t xml:space="preserve">A secondary school teacher in grades 7-9 lets students use a chatbot and an image generator for a project. What difficulties with students' handling of these outputs should the teacher expect?</t>
  </si>
  <si>
    <t xml:space="preserve">Middle school learners often struggle to critically evaluate AI-generated responses and may over-trust misleading outputs. Image generators have also been shown to reinforce biased representations.</t>
  </si>
  <si>
    <t xml:space="preserve">For middle school students (grades 7-9), studies show that learners often struggle to critically evaluate AI-generated responses and may over-trust misleading outputs (Abdelghani et al., 2025). In parallel, tools like image generators have been shown to reinforce biased representations.</t>
  </si>
  <si>
    <t xml:space="preserve">Both statements (struggles with critical evaluation and over-trust; image generators reinforcing biased representations) are directly stated in the evidence. | The question describes a concrete scenario, and the grade range and tools are spelled out, with no reference to an unseen source. | value: Over-trust in AI and biased outputs among young learners are useful, practical AI-literacy risks for educators.</t>
  </si>
  <si>
    <t xml:space="preserve">A teacher of grades 7-9 has students use a chatbot and an image generator on a project. What problems in how students deal with the outputs should be anticipated?</t>
  </si>
  <si>
    <t xml:space="preserve">Middle school students in grades 7-9 are using a chatbot and an image generator for a project. What student difficulties with the AI outputs should their teacher expect?</t>
  </si>
  <si>
    <t xml:space="preserve">be-aiware-an-ai-competency-model-for-k-12:0002:q1</t>
  </si>
  <si>
    <t xml:space="preserve">A high school in grades 10-12 notices students increasingly using generative AI for writing, coding, and ideation. What ethical issues arise, and what is essential in response?</t>
  </si>
  <si>
    <t xml:space="preserve">This use raises ethical issues such as over-reliance on AI-generated content, blurred authorship, and uncritical acceptance of outputs. Age-appropriate competencies are essential to support critical engagement, promote ethical awareness, and ensure students can responsibly use generative AI tools in learning.</t>
  </si>
  <si>
    <t xml:space="preserve">High school students (grades 10-12) increasingly use GAI tools to support writing, coding, and ideation. This raises ethical issues such as over-reliance on AI-generated content, blurred authorship, and uncritical acceptance of outputs (Kasneci et al., 2023). Age-appropriate competencies are therefore essential to support critical engagement, promote ethical awareness, and ensure students can responsibly use GAI tools in learning.</t>
  </si>
  <si>
    <t xml:space="preserve">The answer restates the three ethical issues and the call for age-appropriate competencies exactly as the evidence gives them. | The question sets up a self-contained scenario and does not refer to any unseen source. | value: It covers useful responsible-AI knowledge, though it concerns secondary education rather than higher education.</t>
  </si>
  <si>
    <t xml:space="preserve">Students in grades 10-12 are using generative AI more for writing, coding, and ideation. Which ethical issues does this raise and what is essential?</t>
  </si>
  <si>
    <t xml:space="preserve">What ethical problems follow when high schoolers increasingly use generative AI for writing, coding, and ideation, and what response is essential?</t>
  </si>
  <si>
    <t xml:space="preserve">be-aiware-an-ai-competency-model-for-k-12:0002:q2</t>
  </si>
  <si>
    <t xml:space="preserve">A teacher wants to use an AI detector to catch AI-written student work and also lets students make images with a generator. What concerns about detection and about generative AI more broadly should the teacher weigh?</t>
  </si>
  <si>
    <t xml:space="preserve">Teachers struggle with detecting AI-generated work because current detection tools are unreliable. Generative AI also raises concerns about reduced creativity, data privacy, and the growing presence of AI-generated content like deepfakes and fake news on social media.</t>
  </si>
  <si>
    <t xml:space="preserve">Teachers also struggle with detecting AI-generated work, as current detection tools are unreliable. Additionally, GAI raises concerns about reduced creativity, data privacy, and the increasing presence of AIgenerated content like deepfakes and fake news on social media.</t>
  </si>
  <si>
    <t xml:space="preserve">Every statement in the answer is a close restatement of the evidence, with no additions. | The question is self-contained, uses no undefined acronyms and does not presuppose a source. | value: It covers useful concerns about AI detector reliability and the broader risks of generative AI in education.</t>
  </si>
  <si>
    <t xml:space="preserve">A teacher plans to rely on an AI detector for student work and allows image generation by students. Which concerns about detectors and generative AI generally apply?</t>
  </si>
  <si>
    <t xml:space="preserve">What detection-related and wider generative AI concerns should a teacher consider when using an AI detector and permitting student image generators?</t>
  </si>
  <si>
    <t xml:space="preserve">be-aiware-an-ai-competency-model-for-k-12:0002:q3</t>
  </si>
  <si>
    <t xml:space="preserve">What can happen when AI systems are trained on biased data, and how might AI-driven recruitment systems illustrate this?</t>
  </si>
  <si>
    <t xml:space="preserve">AI systems trained on biased data can unintentionally reinforce stereotypes or unfairly exclude certain groups. For example, AI-driven recruitment systems may favor particular demographics if historical data reflects biased hiring practices, perpetuating inequalities.</t>
  </si>
  <si>
    <t xml:space="preserve">The answer reproduces the evidence verbatim, with no added claims. | The question is self-contained, uses no source references, and has no undefined terms. | value: Algorithmic bias and its illustration through recruitment systems is core responsible-AI knowledge.</t>
  </si>
  <si>
    <t xml:space="preserve">What can result from training AI systems on biased data, and how do AI recruitment systems show this?</t>
  </si>
  <si>
    <t xml:space="preserve">How can biased training data affect AI systems, for instance in AI-driven hiring?</t>
  </si>
  <si>
    <t xml:space="preserve">be-aiware-an-ai-competency-model-for-k-12:0002:q4</t>
  </si>
  <si>
    <t xml:space="preserve">What does it mean that the Be AIware AI competency model for K-12 education was designed to be modular and mappable?</t>
  </si>
  <si>
    <t xml:space="preserve">The Be AIware model was designed to be modular and mappable to existing subjects and educational frameworks.</t>
  </si>
  <si>
    <t xml:space="preserve">To address this, the model was designed to be modular and mappable to existing subjects and educational frameworks.</t>
  </si>
  <si>
    <t xml:space="preserve">Be AIware! An AI Competency Model for K-12 Education, p. 5</t>
  </si>
  <si>
    <t xml:space="preserve">The answer restates the evidence that the model is modular and mappable to existing subjects and frameworks. The evidence says only "the model" and does not itself name Be AIware, though the answer adds nothing else unsupported. | The question names the specific Be AIware model and its K-12 context, so it is understandable without the source. | value: A narrow design detail of a K-12 AI competency model that is only somewhat tied to AI in higher education.</t>
  </si>
  <si>
    <t xml:space="preserve">What is meant by the Be AIware K-12 AI competency model being modular and mappable?</t>
  </si>
  <si>
    <t xml:space="preserve">In the Be AIware AI competency model for K-12 schools, what do the design features modular and mappable involve?</t>
  </si>
  <si>
    <t xml:space="preserve">be-aiware-an-ai-competency-model-for-k-12:0008:q0</t>
  </si>
  <si>
    <t xml:space="preserve">Circular: answer just restates the question ('designed to be modular and mappable'). Repaired.</t>
  </si>
  <si>
    <t xml:space="preserve">A school district is designing a K-12 AI curriculum and wants to include competencies such as GANs and heuristic searches for all students. What does the Be AIware competency model work indicate about such items?</t>
  </si>
  <si>
    <t xml:space="preserve">Items like GANs, algorithm explanation, model training types, and heuristic searches were considered too advanced for K-12 learners without specialized preparation, so they were removed. This aligns with Blikstein (2018), who cautions against introducing deep computer science topics without sufficient scaffolding.</t>
  </si>
  <si>
    <t xml:space="preserve">For example, items like GANs, algorithm explanation, model training types, and heuristic searches were considered too advanced for K-12 learners without specialized preparation. This decision aligns with findings from Blikstein (2018), who cautions against introducing deep computer science topics without sufficient scaffolding. … This process resulted in refining the competencies from 140 to 98 by excluding duplicates and renaming some.</t>
  </si>
  <si>
    <t xml:space="preserve">The evidence says these items were considered too advanced and refers to 'this decision.' The explicit claim that they were removed is a slight inference from that phrasing, though a reasonable one. | The question names the Be AIware competency model and sets up a concrete scenario. GANs is a widely known term in the AI domain. | value: Useful guidance on how age-appropriate K-12 AI competencies should be scoped.</t>
  </si>
  <si>
    <t xml:space="preserve">A K-12 district plans to teach all students GANs and heuristic searches as AI competencies. What did the Be AIware model development find about such items?</t>
  </si>
  <si>
    <t xml:space="preserve">If a school system wants to add GANs and heuristic search to a general K-12 AI curriculum, what does the Be AIware model's refinement say about them?</t>
  </si>
  <si>
    <t xml:space="preserve">be-aiware-an-ai-competency-model-for-k-12:0008:q2</t>
  </si>
  <si>
    <t xml:space="preserve">Why does a granular competency structure matter for the Be AIware K-12 AI competency model?</t>
  </si>
  <si>
    <t xml:space="preserve">Insights from practice confirmed that a granular structure improves alignment with school-based needs and curricular integration. The model was also designed to be modular and mappable to existing subjects and educational frameworks.</t>
  </si>
  <si>
    <t xml:space="preserve">To address this, the model was designed to be modular and mappable to existing subjects and educational frameworks. … Insights from practice also confirmed that a granular structure improves alignment with school-based needs and curricular integration.</t>
  </si>
  <si>
    <t xml:space="preserve">Both statements, the benefit of granularity and the modular, mappable design, are directly stated in the evidence. | The question names the specific Be AIware K-12 AI competency model and needs no unseen context. | value: This is a narrow design point about a K-12 AI competency model, only tangential to higher education.</t>
  </si>
  <si>
    <t xml:space="preserve">What benefit of a granular structure for K-12 AI competencies was confirmed by practical insights in the Be AIware model?</t>
  </si>
  <si>
    <t xml:space="preserve">In the Be AIware K-12 AI competency model, why was a granular competency structure valuable?</t>
  </si>
  <si>
    <t xml:space="preserve">be-aiware-an-ai-competency-model-for-k-12:0008:q3</t>
  </si>
  <si>
    <t xml:space="preserve">Repaired; thin explanation, overlaps #70.</t>
  </si>
  <si>
    <t xml:space="preserve">What classroom concerns about AI did teachers raise in interviews for the Be AIware K-12 competency model?</t>
  </si>
  <si>
    <t xml:space="preserve">Teachers highlighted the risks of over-reliance on AI tools, the importance of independent thinking, and the integration of ethical reasoning into subjects like philosophy and social studies.</t>
  </si>
  <si>
    <t xml:space="preserve">Teachers highlighted classroom-relevant concerns, including the risks of over-reliance on AI tools, the importance of independent thinking, and the integration of ethical reasoning into subjects like philosophy and social studies (Teacher 1, June 5, 2023; Teacher 2, July 12, 2023; Teacher 3, July 13, 2023; Teacher 4, July 15, 2023).</t>
  </si>
  <si>
    <t xml:space="preserve">The answer restates the three concerns exactly as given in the evidence. It adds no inference or extra detail. | It names the Be AIware K-12 competency model by its content and asks a clear question without referring to an unseen source. | value: These are relevant AI-in-education concerns, but they come from a narrow K-12 interview context rather than higher education.</t>
  </si>
  <si>
    <t xml:space="preserve">Which AI-related classroom concerns did teachers highlight when the Be AIware K-12 model was developed?</t>
  </si>
  <si>
    <t xml:space="preserve">What worries about AI in the classroom did teachers voice in the Be AIware interviews?</t>
  </si>
  <si>
    <t xml:space="preserve">be-aiware-an-ai-competency-model-for-k-12:0008:q4</t>
  </si>
  <si>
    <t xml:space="preserve">What tendency do multiple studies document in how AI systems assign grades to student work?</t>
  </si>
  <si>
    <t xml:space="preserve">Multiple studies document a consistent tendency toward leniency. AI systems assign higher marks and under-penalize weak submissions.</t>
  </si>
  <si>
    <t xml:space="preserve">Multiple studies document a consistent tendency toward leniency, wherein AI systems assign higher marks and under-penalize weak submissions (Jukiewicz, 2024; Crosthwaite &amp; Ma, 2025).</t>
  </si>
  <si>
    <t xml:space="preserve">The answer directly restates the evidence: a consistent leniency tendency, with higher marks and under-penalized weak submissions. | The question clearly asks about a documented tendency in AI grading of student work and does not refer to an unseen source. | value: AI grading leniency is a core risk for assessment in higher education.</t>
  </si>
  <si>
    <t xml:space="preserve">What grading tendency have multiple studies found in AI systems?</t>
  </si>
  <si>
    <t xml:space="preserve">How do AI grading systems tend to behave when marking student submissions, according to multiple studies?</t>
  </si>
  <si>
    <t xml:space="preserve">reliable-but-not-rigorous-evaluating-chatgpt-s:0002:q0</t>
  </si>
  <si>
    <t xml:space="preserve">What benefits can AI-based grading systems offer instructors and students?</t>
  </si>
  <si>
    <t xml:space="preserve">AI-based systems can reduce instructor workload, improve scoring consistency, and provide faster feedback.</t>
  </si>
  <si>
    <t xml:space="preserve">AI-based systems can reduce instructor workload, improve scoring consistency, and provide faster feedback (Seneviratne &amp; Manathunga, 2025).</t>
  </si>
  <si>
    <t xml:space="preserve">The answer restates the evidence almost verbatim: reduced instructor workload, improved scoring consistency and faster feedback. | The question is clear without the source and contains no source references or undefined terms. | value: These are useful, commonly cited benefits of AI-assisted assessment in higher education.</t>
  </si>
  <si>
    <t xml:space="preserve">What advantages have been reported for AI-based grading systems?</t>
  </si>
  <si>
    <t xml:space="preserve">In what ways can AI-based grading systems help both instructors and students?</t>
  </si>
  <si>
    <t xml:space="preserve">reliable-but-not-rigorous-evaluating-chatgpt-s:0002:q1</t>
  </si>
  <si>
    <t xml:space="preserve">What three possible explanations for AI grading leniency do prior studies often fail to tell apart?</t>
  </si>
  <si>
    <t xml:space="preserve">Prior research often fails to differentiate whether leniency represents an inherent model bias, a reflection of training data distributions, or limitations of rubric application.</t>
  </si>
  <si>
    <t xml:space="preserve">Importantly, prior research often fails to differentiate whether this leniency represents an inherent model bias, a reflection of training data distributions, or limitations of rubric application (Lalor et al., 2024). … Multiple studies document a consistent tendency toward leniency, wherein AI systems assign higher marks and under-penalize weak submissions (Jukiewicz, 2024; Crosthwaite &amp; Ma, 2025).</t>
  </si>
  <si>
    <t xml:space="preserve">The answer directly restates the three explanations named in the evidence: inherent model bias, training data distributions and rubric application limitations. | The question is self-contained and clear about AI grading leniency, and it does not refer to any unseen source. | value: It covers useful knowledge about the possible causes of bias in AI grading.</t>
  </si>
  <si>
    <t xml:space="preserve">Which three possible sources of leniency in AI grading are often not distinguished in earlier research?</t>
  </si>
  <si>
    <t xml:space="preserve">When AI graders are lenient, what three possible causes does prior research often not differentiate?</t>
  </si>
  <si>
    <t xml:space="preserve">reliable-but-not-rigorous-evaluating-chatgpt-s:0002:q2</t>
  </si>
  <si>
    <t xml:space="preserve">How does the type of assignment affect the accuracy of AI grading?</t>
  </si>
  <si>
    <t xml:space="preserve">AI performs reliably in structured tasks, but its accuracy declines in open-ended or creative assignments. Those assignments require nuanced contextual understanding.</t>
  </si>
  <si>
    <t xml:space="preserve">While AI performs reliably in structured tasks, its accuracy declines in openended or creative assignments, where nuanced contextual understanding is required (Lo et al., 2025).</t>
  </si>
  <si>
    <t xml:space="preserve">Both statements directly restate the evidence: reliable in structured tasks, declining accuracy in open-ended or creative assignments that require nuanced contextual understanding. | The question is self-contained and refers to no unseen source or context. | value: This is a useful, practical finding about the limits of AI-assisted assessment in higher education.</t>
  </si>
  <si>
    <t xml:space="preserve">In what way does assignment type change how accurate AI grading is?</t>
  </si>
  <si>
    <t xml:space="preserve">In what way does the kind of assignment being graded influence how accurate AI grading is?</t>
  </si>
  <si>
    <t xml:space="preserve">reliable-but-not-rigorous-evaluating-chatgpt-s:0002:q4</t>
  </si>
  <si>
    <t xml:space="preserve">Why does a lack of cybersecurity training among students, faculty, and staff make universities more vulnerable, and what should institutions do about it?</t>
  </si>
  <si>
    <t xml:space="preserve">A lack of cybersecurity training among students, faculty, and staff exacerbates vulnerabilities and makes individuals more susceptible to cyberattacks. Institutions must prioritize ongoing security awareness education to mitigate human error-related risks.</t>
  </si>
  <si>
    <t xml:space="preserve">A lack of cybersecurity training among students, faculty, and staff exacerbates vulnerabilities, making individuals more susceptible to cyberattacks. Institutions must prioritize ongoing security awareness education to mitigate human error-related risks.</t>
  </si>
  <si>
    <t xml:space="preserve">AI and Security in China’s Higher Education, p. 36</t>
  </si>
  <si>
    <t xml:space="preserve">The answer restates the evidence nearly verbatim, with no added claims. | The question is self-contained and makes no reference to a source. | value: It covers a useful institutional risk and recommendation on cybersecurity awareness in universities.</t>
  </si>
  <si>
    <t xml:space="preserve">How does missing cybersecurity training for students, faculty, and staff increase a university's exposure to cyberattacks, and what response is called for?</t>
  </si>
  <si>
    <t xml:space="preserve">What is the effect of untrained students, faculty, and staff on university cyber vulnerability, and what should institutions prioritize?</t>
  </si>
  <si>
    <t xml:space="preserve">extra:procurement_technology</t>
  </si>
  <si>
    <t xml:space="preserve">ai-and-security-in-china-s-higher-education:0016:q0</t>
  </si>
  <si>
    <t xml:space="preserve">A university plans to build up its cybersecurity culture so that students, faculty, and staff understand their responsibilities. What measures should it adopt, and what benefits follow from a pervasive information security culture?</t>
  </si>
  <si>
    <t xml:space="preserve">Universities should embed cybersecurity norms through sustained awareness campaigns, role-based education, and continuous training, so students, faculty, and staff understand their responsibilities and practice policies proactively. A pervasive information security culture builds shared accountability, reduces human-factor breaches, and strengthens institutional resilience against evolving threats.</t>
  </si>
  <si>
    <t xml:space="preserve">Universities should embed cybersecurity norms through sustained awareness campaigns, role-based education, and continuous training so students, faculty, and staff understand their responsibilities and practice policies proactively. A pervasive ISC builds shared accountability, reduces human-factor breaches, and strengthens institutional resilience against evolving threats (Li et al., 2021; Wang, 2019).</t>
  </si>
  <si>
    <t xml:space="preserve">The answer restates the evidence almost verbatim; it only expands the ISC acronym to information security culture. | The question describes a clear scenario, contains no source references, and spells out information security culture rather than using an acronym. | value: These are useful institutional cybersecurity culture recommendations for higher education, though only tangential to AI.</t>
  </si>
  <si>
    <t xml:space="preserve">A campus wants staff, faculty, and students to understand and practice their security responsibilities. Which measures should it embed, and what does a pervasive information security culture deliver?</t>
  </si>
  <si>
    <t xml:space="preserve">If a university aims to foster an information security culture, what activities should it use and what outcomes does such a culture bring?</t>
  </si>
  <si>
    <t xml:space="preserve">ai-and-security-in-china-s-higher-education:0016:q1</t>
  </si>
  <si>
    <t xml:space="preserve">What are malware and ransomware attacks on universities?</t>
  </si>
  <si>
    <t xml:space="preserve">Malware and ransomware attacks are increasingly common, as attackers infiltrate university networks, encrypt files, and demand ransom payments for the return of critical data. These attacks can cause significant financial and operational disruptions.</t>
  </si>
  <si>
    <t xml:space="preserve">The answer reproduces the evidence verbatim. | The question is clear without the source and refers to no unseen context. | value: Cybersecurity risks to universities are useful knowledge about the institutional context.</t>
  </si>
  <si>
    <t xml:space="preserve">How do malware and ransomware attacks against universities work?</t>
  </si>
  <si>
    <t xml:space="preserve">What happens in a malware or ransomware attack on a university?</t>
  </si>
  <si>
    <t xml:space="preserve">ai-and-security-in-china-s-higher-education:0016:q2</t>
  </si>
  <si>
    <t xml:space="preserve">How can poorly managed cloud services lead to data leaks at universities, and what must institutions do to reduce this risk?</t>
  </si>
  <si>
    <t xml:space="preserve">Poorly managed cloud services with weak access controls and configuration errors can lead to data leaks. Institutions must ensure that cloud service providers comply with security protocols to mitigate these risks.</t>
  </si>
  <si>
    <t xml:space="preserve">The answer repeats the evidence nearly verbatim. It names weak access controls and configuration errors as causes, and provider compliance with security protocols as the mitigation. | The question is self-contained and makes no reference to an unseen source. | value: Cloud security risks to institutional data are useful, practical knowledge for higher education.</t>
  </si>
  <si>
    <t xml:space="preserve">Why can badly managed cloud services cause data leaks in universities, and what must institutions ensure?</t>
  </si>
  <si>
    <t xml:space="preserve">In what ways can badly managed cloud services cause data leaks in universities, and what steps do institutions need to take to lower that risk?</t>
  </si>
  <si>
    <t xml:space="preserve">ai-and-security-in-china-s-higher-education:0016:q3</t>
  </si>
  <si>
    <t xml:space="preserve">What does aligning data governance with laws such as GDPR and FERPA involve for universities?</t>
  </si>
  <si>
    <t xml:space="preserve">Institutions should align data governance with laws like GDPR and FERPA, covering secure collection, processing, and storage. They should also educate staff and students on their rights and duties so policies are consistently followed in practice.</t>
  </si>
  <si>
    <t xml:space="preserve">Institutions should align data governance with laws like GDPR and FERPA-covering secure collection, processing, and storage-while educating staff and students on their rights and duties so policies are consistently followed in practice (Liu, 2021; Xiao, 2006).</t>
  </si>
  <si>
    <t xml:space="preserve">The answer restates the evidence nearly verbatim; secure collection, processing and storage, together with educating staff and students, are all directly stated. | GDPR and FERPA are well-known named laws, and the question does not refer to any unseen source. | value: This is useful knowledge on data governance compliance in higher education.</t>
  </si>
  <si>
    <t xml:space="preserve">What should universities do when aligning their data governance with GDPR and FERPA?</t>
  </si>
  <si>
    <t xml:space="preserve">For universities, what is involved in making their data governance consistent with regulations such as GDPR and FERPA?</t>
  </si>
  <si>
    <t xml:space="preserve">ai-and-security-in-china-s-higher-education:0016:q4</t>
  </si>
  <si>
    <t xml:space="preserve">In a higher-education module on AI in business environments, what is meant by "AI Capital", and what is the final assessment designed to let students demonstrate?</t>
  </si>
  <si>
    <t xml:space="preserve">AI Capital is the combined technical proficiency and strategic insight required for responsible, value-driven AI deployment in contemporary businesses. The assessment was designed to enable students to demonstrate this AI Capital.</t>
  </si>
  <si>
    <t xml:space="preserve">Ultimately, this assessment was designed to enable students to demonstrate their AI Capital, that is, the combined technical proficiency and strategic insight required for responsible, value-driven AI deployment in contemporary businesses.</t>
  </si>
  <si>
    <t xml:space="preserve">The formation of AI Capital in higher education: Enhancing students’ academic performance and employment rates, p. 8</t>
  </si>
  <si>
    <t xml:space="preserve">The definition and the assessment's purpose are both stated directly in the evidence. The answer adds no unsupported statements. | The question describes the module by its content and explains the term in quotes, so it is understandable without the source, even though it refers to "the final assessment" of a described module. | value: The concept of AI capital is relevant, but the pair is narrowly tied to one module's assessment.</t>
  </si>
  <si>
    <t xml:space="preserve">How is "AI Capital" defined in an AI in Business Environments module, and what does its assessment let students demonstrate?</t>
  </si>
  <si>
    <t xml:space="preserve">What does "AI Capital" mean in a university business AI module, and what is the assignment meant to enable students to show?</t>
  </si>
  <si>
    <t xml:space="preserve">the-formation-of-ai-capital-in-higher-education:0012:q0</t>
  </si>
  <si>
    <t xml:space="preserve">Why does the model development report in the AI in Business Environments module require students to discuss ethical implications and propose strategies for transparency and fairness?</t>
  </si>
  <si>
    <t xml:space="preserve">The report required students to discuss the ethical implications of AI applications and propose strategies to enhance model transparency and fairness. These themes reflected the module's emphasis on ethical and responsible AI.</t>
  </si>
  <si>
    <t xml:space="preserve">The report required students to interpret AI-driven insights (LO9, LO29), discuss the ethical implications of AI applications (LO13, LO14, LO15, LO16), and propose strategies to enhance model transparency and fairness (LO20). These themes reflected the module's emphasis on ethical and responsible AI.</t>
  </si>
  <si>
    <t xml:space="preserve">The formation of AI Capital in higher education: Enhancing students’ academic performance and employment rates, p. 7</t>
  </si>
  <si>
    <t xml:space="preserve">Both sentences of the answer are stated almost verbatim in the evidence, including the link to the module's emphasis on ethical and responsible AI. | The question names the module and the specific report by content, so it can be understood without seeing the source. | value: It is acceptable but narrow, concerning the rationale behind one module's assessment design.</t>
  </si>
  <si>
    <t xml:space="preserve">What is the reason the AI in Business Environments module's model development report asks students to address ethical implications and propose transparency and fairness strategies?</t>
  </si>
  <si>
    <t xml:space="preserve">Why are students in the AI in Business Environments module required to cover ethics, model transparency and fairness in their model development report?</t>
  </si>
  <si>
    <t xml:space="preserve">the-formation-of-ai-capital-in-higher-education:0012:q1</t>
  </si>
  <si>
    <t xml:space="preserve">A university is designing an AI literacy programme for its teaching staff and wants to go beyond the foundational AI literacy expected of everyone. Which additional literacy aspects should it cover for university teachers, and why does this extension matter?</t>
  </si>
  <si>
    <t xml:space="preserve">Based on the DAILM model, the additional aspects for university teachers are Pedagogical Innovation; Ethical, Social, and Policy Awareness; AI for Social Good; Career and Industry Alignment; Continuous Professional Development; Research and Scholarly Engagement; and Responsible AI Usage and Development. The extension needs to be detailed because teachers have an influential role in shaping both educational experiences and ethical AI discourse.</t>
  </si>
  <si>
    <t xml:space="preserve">Based on the DAILM model, the additional literacy aspects for university teacher are expected to be: (1) Pedagogical Innovation; (2) Ethical, Social, and Policy Awareness; (3) AI for Social Good; (4) Career and Industry Alignment; (5) Continuous Professional Development; (6) Research and Scholarly Engagement; and (7) Responsible AI Usage and Development. … In addition, a further extension of AI literacy needs to be detailed, given teachers' influential role in shaping both educational experiences and ethical AI discourse.</t>
  </si>
  <si>
    <t xml:space="preserve">Generative AI in Higher Education: The ChatGPT Effect, p. 63</t>
  </si>
  <si>
    <t xml:space="preserve">The answer lists exactly the seven aspects named in the evidence. It also restates the evidence's stated reason, teachers' influential role. | The question frames a realistic scenario without referring to a source. It does not name the DAILM model, but it is still fully understandable without it. | value: It gives a useful set of AI literacy dimensions for university teachers.</t>
  </si>
  <si>
    <t xml:space="preserve">What extra AI literacy aspects, beyond foundational literacy, should a university's programme for teachers include, and what justifies extending it?</t>
  </si>
  <si>
    <t xml:space="preserve">If a university wants its teachers to have more than foundational AI literacy, which additional aspects should be covered, and for what reason?</t>
  </si>
  <si>
    <t xml:space="preserve">extra:faculty_readiness</t>
  </si>
  <si>
    <t xml:space="preserve">cecilia-ka-yuk-chan-2024-generative-ai-in:0035:q0</t>
  </si>
  <si>
    <t xml:space="preserve">What minimum level of proficiency in technical AI application should university teachers have?</t>
  </si>
  <si>
    <t xml:space="preserve">University teachers should possess at least a medium level of proficiency in technical AI application. This allows them to better understand and interact with AI technologies for teaching, learning, and research.</t>
  </si>
  <si>
    <t xml:space="preserve">University teachers should possess at least a
36 AI Literacy
medium level of proficiency in technical AI application, allowing them to better understand and interact with AI technologies for teaching, learning, and research.</t>
  </si>
  <si>
    <t xml:space="preserve">Generative AI in Higher Education: The ChatGPT Effect, p. 62</t>
  </si>
  <si>
    <t xml:space="preserve">Both sentences restate the evidence directly: the medium-level minimum and its purpose for teaching, learning and research. | The question is self-contained and makes no reference to an unseen source. | value: It is a useful, though somewhat specific, AI literacy recommendation for faculty.</t>
  </si>
  <si>
    <t xml:space="preserve">At least what level of technical AI application proficiency should university teachers possess?</t>
  </si>
  <si>
    <t xml:space="preserve">What is the minimum technical AI application proficiency expected of university teachers?</t>
  </si>
  <si>
    <t xml:space="preserve">cecilia-ka-yuk-chan-2024-generative-ai-in:0035:q1</t>
  </si>
  <si>
    <t xml:space="preserve">Why is a good foundation in AI important for teachers in AI-integrated education?</t>
  </si>
  <si>
    <t xml:space="preserve">A good foundation in AI enables teachers to employ data analysis techniques, engage with automated assessment systems, and create personalised learning experiences. This technical backbone is essential for them to confidently navigate the AI-integrated landscape of education and to leverage AI to enhance teaching and learning.</t>
  </si>
  <si>
    <t xml:space="preserve">A good foundation in AI enables teachers to employ data analysis techniques, engage with automated assessment systems, and create personalised learning experiences. This technical backbone is essential for them to confidently navigate the AI-integrated landscape of education, and ensure that they can leverage AI to enhance teaching and learning.</t>
  </si>
  <si>
    <t xml:space="preserve">The answer restates the evidence nearly verbatim and adds no unsupported claims. | The question is self-contained and does not refer to an unseen source. | value: Explains why teachers need AI literacy, which is useful domain knowledge.</t>
  </si>
  <si>
    <t xml:space="preserve">How does a solid grounding in AI help teachers work in AI-integrated education?</t>
  </si>
  <si>
    <t xml:space="preserve">Why do teachers need a good foundation in AI to navigate education that integrates AI?</t>
  </si>
  <si>
    <t xml:space="preserve">cecilia-ka-yuk-chan-2024-generative-ai-in:0035:q2</t>
  </si>
  <si>
    <t xml:space="preserve">Which key areas does foundational AI literacy cover, which is considered vital for all individuals?</t>
  </si>
  <si>
    <t xml:space="preserve">Foundational AI literacy covers AI concepts, applications, affectiveness for human emotions, safety and security, and responsible usage. It is considered vital for all individuals.</t>
  </si>
  <si>
    <t xml:space="preserve">As mentioned in the last section, a foundational literacy in AI - covering the key areas of AI concepts, applications, affectiveness for human emotions, safety and security, and responsible usage - is vital for all individuals.</t>
  </si>
  <si>
    <t xml:space="preserve">The answer directly restates the five areas and the claim that this literacy is vital for all individuals, all of which appear in the evidence. | The question is self-contained and uses no references to a source or unseen context. | value: It gives useful domain knowledge about the components of AI literacy.</t>
  </si>
  <si>
    <t xml:space="preserve">What key areas make up the foundational AI literacy that is vital for everyone?</t>
  </si>
  <si>
    <t xml:space="preserve">Foundational AI literacy, considered vital for all individuals, spans which key areas?</t>
  </si>
  <si>
    <t xml:space="preserve">cecilia-ka-yuk-chan-2024-generative-ai-in:0035:q3</t>
  </si>
  <si>
    <t xml:space="preserve">In the DAILM model of AI literacy, which seven additional literacy aspects are expected of university teachers beyond foundational AI literacy?</t>
  </si>
  <si>
    <t xml:space="preserve">The DAILM model expects the additional literacy aspects for university teachers to be Pedagogical Innovation; Ethical, Social, and Policy Awareness; AI for Social Good; Career and Industry Alignment; Continuous Professional Development; Research and Scholarly Engagement; and Responsible AI Usage and Development.</t>
  </si>
  <si>
    <t xml:space="preserve">Based on the DAILM model, the additional literacy aspects for university teacher are expected to be: (1) Pedagogical Innovation; (2) Ethical, Social, and Policy Awareness; (3) AI for Social Good; (4) Career and Industry Alignment; (5) Continuous Professional Development; (6) Research and Scholarly Engagement; and (7) Responsible AI Usage and Development.</t>
  </si>
  <si>
    <t xml:space="preserve">The answer lists exactly the seven additional literacy aspects for university teachers that the evidence states under the DAILM model. | The question names a specific framework (the DAILM model) and asks a clear question without presupposing an unseen source. | value: It gives useful, framework-specific knowledge about AI literacy expectations for university teachers.</t>
  </si>
  <si>
    <t xml:space="preserve">What seven extra AI literacy aspects does the DAILM model set out for university teachers on top of foundational literacy?</t>
  </si>
  <si>
    <t xml:space="preserve">Beyond foundational AI literacy, which seven aspects does the DAILM model expect university teachers to have?</t>
  </si>
  <si>
    <t xml:space="preserve">cecilia-ka-yuk-chan-2024-generative-ai-in:0035:q4</t>
  </si>
  <si>
    <t xml:space="preserve">In a survey of 1280 undergraduates at 12 Chinese universities, how were institutional culture, AI-based assessment practices and students' meta-skills related to one another?</t>
  </si>
  <si>
    <t xml:space="preserve">Institutional culture was positively associated with AI-based assessment practices (β = .49, R2 = .24) and with meta-skills (β = .21). AI-based assessment practices were strongly associated with meta-skills (β = .58, R2 = .55).</t>
  </si>
  <si>
    <t xml:space="preserve">Institutional culture was positively associated with AI-based assessment practices (β = .49, R 2 = .24) and meta-skills (β = .21), while AI-based assessment practices were strongly associated with meta-skills (β = .58, R 2 = .55).</t>
  </si>
  <si>
    <t xml:space="preserve">AI-enabled assessment in higher education: Institutional culture and student meta-skill readiness across university tiers, p. 1</t>
  </si>
  <si>
    <t xml:space="preserve">Every coefficient and relationship in the answer is stated directly in the evidence, with only trivial rewording. | The question identifies the study by its sample and constructs, so it is understandable without seeing the source. | value: It is a useful empirical finding linking institutional culture and AI-based assessment to student meta-skills.</t>
  </si>
  <si>
    <t xml:space="preserve">What associations did a survey of 1280 undergraduates at 12 Chinese universities find among institutional culture, AI-based assessment practices and meta-skills?</t>
  </si>
  <si>
    <t xml:space="preserve">Among 1280 undergraduates from 12 universities in China who were surveyed, what was the relationship linking institutional culture, AI-based assessment practices and students' meta-skills?</t>
  </si>
  <si>
    <t xml:space="preserve">ai-enabled-assessment-in-higher-education:0000:q0</t>
  </si>
  <si>
    <t xml:space="preserve">Which meta-skills are universities under pressure to foster while they integrate AI?</t>
  </si>
  <si>
    <t xml:space="preserve">Universities are under growing pressure to integrate AI while fostering meta-skills such as adaptability, collaboration, creativity and strategic thinking.</t>
  </si>
  <si>
    <t xml:space="preserve">Universities are under growing pressure to integrate artificial intelligence (AI) while fostering meta-skills such as adaptability, collaboration, creativity and strategic thinking.</t>
  </si>
  <si>
    <t xml:space="preserve">The answer restates the evidence almost verbatim. Every statement in it is directly supported. | The question is self-contained and does not refer to any source. | value: It names the meta-skills universities are expected to build alongside AI integration, which is useful domain knowledge.</t>
  </si>
  <si>
    <t xml:space="preserve">Which meta-skills must universities foster alongside integrating AI, given growing pressure?</t>
  </si>
  <si>
    <t xml:space="preserve">While integrating AI, what meta-skills are universities expected to develop in students?</t>
  </si>
  <si>
    <t xml:space="preserve">ai-enabled-assessment-in-higher-education:0000:q1</t>
  </si>
  <si>
    <t xml:space="preserve">A university wants AI-based assessment to build students' meta-skills and is deciding whether to treat it as a purely technical rollout. What does research on 12 Chinese universities indicate about how it should be viewed and what strengthens its effect?</t>
  </si>
  <si>
    <t xml:space="preserve">The findings position AI-enabled assessment as a culturally mediated dimension of academic management rather than a purely technical add-on. Governance and ethics readiness significantly strengthened the relationship between AI-based assessment practices and students' meta-skills.</t>
  </si>
  <si>
    <t xml:space="preserve">These findings position AI-enabled assessment as a culturally mediated dimension of academic management rather than a purely technical add-on. … Governance and ethics readiness significantly strengthened the AI-based assessment-meta-skills relationship, and cross-tier comparisons showed a stronger culture-to-practice pathway in national key universities.</t>
  </si>
  <si>
    <t xml:space="preserve">Both statements in the answer are directly supported by the evidence with only light rewording. The evidence does not itself state that the study covered 12 Chinese universities, though that detail appears only in the question. | The question names the study by its content (research on 12 Chinese universities) and sets out a clear scenario. It does not refer to unseen context. | value: It gives a useful finding that AI assessment is a culturally mediated part of academic management and that governance and ethics readiness strengthens its effect.</t>
  </si>
  <si>
    <t xml:space="preserve">A university is considering AI-based assessment as a purely technical add-on to build meta-skills. What do findings from 12 Chinese universities say about how to view it and what strengthens its effect?</t>
  </si>
  <si>
    <t xml:space="preserve">If a university plans AI-based assessment to develop student meta-skills, what do findings from 12 Chinese universities say about treating it as a technical add-on and about what strengthens its effect?</t>
  </si>
  <si>
    <t xml:space="preserve">ai-enabled-assessment-in-higher-education:0000:q2</t>
  </si>
  <si>
    <t xml:space="preserve">How did the pathway from institutional culture to AI-based assessment practice differ across university tiers in a study of Chinese universities?</t>
  </si>
  <si>
    <t xml:space="preserve">Cross-tier comparisons showed a stronger culture-to-practice pathway in national key universities than in other university tiers.</t>
  </si>
  <si>
    <t xml:space="preserve">Governance and ethics readiness significantly strengthened the AI-based assessment-meta-skills relationship, and cross-tier comparisons showed a stronger culture-to-practice pathway in national key universities.</t>
  </si>
  <si>
    <t xml:space="preserve">The answer restates the evidence nearly verbatim; adding "than in other university tiers" is a trivial clarification of the comparison. | The question identifies the study by its content (Chinese universities, tiers, AI-based assessment) and does not rely on unseen context. | value: This is a narrow, study-specific finding about AI assessment adoption, though it is still relevant to the domain.</t>
  </si>
  <si>
    <t xml:space="preserve">In a study of Chinese universities, how did the culture-to-practice pathway for AI-based assessment vary by university tier?</t>
  </si>
  <si>
    <t xml:space="preserve">Which university tier showed a stronger link from institutional culture to AI-based assessment practice in research on Chinese universities?</t>
  </si>
  <si>
    <t xml:space="preserve">ai-enabled-assessment-in-higher-education:0000:q3</t>
  </si>
  <si>
    <t xml:space="preserve">What does it mean to view AI-enabled assessment as a culturally mediated dimension of academic management?</t>
  </si>
  <si>
    <t xml:space="preserve">It means seeing AI-enabled assessment as a culturally mediated dimension of academic management rather than a purely technical add-on. Institutional culture was positively associated with AI-based assessment practices (β = .49).</t>
  </si>
  <si>
    <t xml:space="preserve">These findings position AI-enabled assessment as a culturally mediated dimension of academic management rather than a purely technical add-on. … Institutional culture was positively associated with AI-based assessment practices (β = .49, R 2 = .24) and meta-skills (β = .21), while AI-based assessment practices were strongly associated with meta-skills (β = .58, R 2 = .55).</t>
  </si>
  <si>
    <t xml:space="preserve">Both statements are drawn directly from the evidence. The answer partly restates the question, and linking the β to the concept's meaning is a light connective move. | The question names a concept without referring to an unseen source. | value: This is a useful conceptual framing of AI assessment within institutional culture.</t>
  </si>
  <si>
    <t xml:space="preserve">What is meant by treating AI-enabled assessment as a culturally mediated dimension of academic management?</t>
  </si>
  <si>
    <t xml:space="preserve">How is AI-enabled assessment positioned when it is seen as culturally mediated and part of academic management?</t>
  </si>
  <si>
    <t xml:space="preserve">ai-enabled-assessment-in-higher-education:0000:q4</t>
  </si>
  <si>
    <t xml:space="preserve">Near-circular: answer restates the phrase the question asks about.</t>
  </si>
  <si>
    <t xml:space="preserve">Why has the potential of MOOC course review data remained largely untapped for educational research?</t>
  </si>
  <si>
    <t xml:space="preserve">The potential of MOOC review data remains largely untapped because there is no structured and comprehensive repository of it that is accessible for educational research and analysis.</t>
  </si>
  <si>
    <t xml:space="preserve">However, the potential of this data remains largely untapped, due to the lack of a structured and comprehensive repository, accessible for educational research and analysis.</t>
  </si>
  <si>
    <t xml:space="preserve">Artificial Intelligence in Education. Posters and Late Breaking Results, Workshops and Tutorials, Industry and Innovation Tracks, Practitioners, Doctoral Consortium and Blue Sky, p. 169</t>
  </si>
  <si>
    <t xml:space="preserve">The answer restates the evidence's stated reason: the lack of a structured, comprehensive and accessible repository. The evidence only says 'this data', so its identification as MOOC review data is a trivial contextual step. | The question clearly asks why MOOC review data is underused in educational research. MOOC is a widely known term, and nothing refers to unseen context. | value: This is acceptable but narrow knowledge about a data-infrastructure gap in educational research, rather than core responsible-AI content.</t>
  </si>
  <si>
    <t xml:space="preserve">What explains why MOOC review data has largely gone unused in educational research?</t>
  </si>
  <si>
    <t xml:space="preserve">What explains the fact that the potential of MOOC course review data has mostly not been exploited in educational research?</t>
  </si>
  <si>
    <t xml:space="preserve">artificial-intelligence-bceaf5:0124:q0</t>
  </si>
  <si>
    <t xml:space="preserve">What six challenges does the MOOCRev data repository for MOOC reviews target?</t>
  </si>
  <si>
    <t xml:space="preserve">MOOCRev targets: thorough, research-based anonymisation to ensure user privacy and data integrity; dealing with class (rating) bias; addressing language diversity and platform-specific rating systems; processing emojis and emoticons; providing text weights; and tagging reviews with Parts of Speech.</t>
  </si>
  <si>
    <t xml:space="preserve">MOOCRev targets the following challenges (1) thorough, research-based anonymisation of the data to ensure user privacy and data integrity, (2) dealing with class (rating) bias, (3) addressing language diversity and platform-specific rating systems, (4) processing emojis and emoticons, (5) providing text weights (6) and tagging the reviews with the corresponding Parts of Speech (POS).</t>
  </si>
  <si>
    <t xml:space="preserve">Artificial Intelligence in Education. Posters and Late Breaking Results, Workshops and Tutorials, Industry and Innovation Tracks, Practitioners, Doctoral Consortium and Blue Sky, p. 168</t>
  </si>
  <si>
    <t xml:space="preserve">All six listed challenges are stated directly in the evidence, with only trivial rewording. | The question names the specific repository (MOOCRev, for MOOC reviews) and needs no unseen context; MOOC is a widely known acronym. | value: These are design challenges for one specific educational review dataset, so the pair is relevant but narrow.</t>
  </si>
  <si>
    <t xml:space="preserve">Which six challenges is MOOCRev designed to address?</t>
  </si>
  <si>
    <t xml:space="preserve">What are the six issues that the MOOCRev review repository tackles?</t>
  </si>
  <si>
    <t xml:space="preserve">artificial-intelligence-bceaf5:0124:q2</t>
  </si>
  <si>
    <t xml:space="preserve">Dataset feature list (MOOCRev); marginal domain value.</t>
  </si>
  <si>
    <t xml:space="preserve">Why is text analytics of learner-generated text on MOOC and other online learning platforms considered an essential but complicated task?</t>
  </si>
  <si>
    <t xml:space="preserve">Text analytics in education is an essential but complicated task because of three distinct challenges. The first is the specific nature of textual data and the volume of information learners generate on online learning platforms. The second is that annotating learners' opinions, feedback and sentiments in MOOCs is time-consuming and labour-intensive. The third is that cultural and linguistic variations can further complicate text annotation and analysis.</t>
  </si>
  <si>
    <t xml:space="preserve">Text analytics, particularly in the education domain, is an essential but complicated task, due to some distinct challenges. This includes (1) the specific nature of textual data and the volume of information learners generate on online learning platforms [5], (2) annotating learners' expressed opinions, feedback and sentiments in MOOCs, which is known to be a time-consuming and labourintensive task [6, 7], and (3) the cultural and linguistic variations which can further complicate text annotations and analysis [8, 9].</t>
  </si>
  <si>
    <t xml:space="preserve">All three challenges in the answer are stated directly in the evidence, with only light rewording. | The question names its topic, text analytics of learner text on MOOCs, without referring to any unseen source. | value: Useful domain knowledge about the challenges of educational text analytics.</t>
  </si>
  <si>
    <t xml:space="preserve">What makes analyzing text written by learners on MOOC and other online learning platforms both essential and complicated?</t>
  </si>
  <si>
    <t xml:space="preserve">Why do researchers regard text analytics of learner-generated text on MOOCs and similar online learning platforms as a task that is essential yet complicated?</t>
  </si>
  <si>
    <t xml:space="preserve">artificial-intelligence-bceaf5:0124:q3</t>
  </si>
  <si>
    <t xml:space="preserve">What kind of dataset is needed to build reliable real-world models for educational text analytics, given its challenges?</t>
  </si>
  <si>
    <t xml:space="preserve">The challenges of educational text analytics underscore the need for a generalisable, cross-platform and non-biased dataset. Such a dataset can be used to build reliable models in real-world applications.</t>
  </si>
  <si>
    <t xml:space="preserve">These challenges underscore the need for a generalisable cross-platform and nonbiased dataset that can be further used to build reliable models in real-world applications. … Text analytics, particularly in the education domain, is an essential but complicated task, due to some distinct challenges. This includes (1) the specific nature of textual data and the volume of information learners generate on online learning platforms [5], (2) annotating learners' expressed opinions, feedback and sentiments in MOOCs, which is known to be a time-consuming and labourintensive task [6, 7], and (3) the cultural and linguistic variations which can further complicate text annotations and analysis [8, 9].</t>
  </si>
  <si>
    <t xml:space="preserve">The answer directly restates the evidence: a generalisable, cross-platform, non-biased dataset is needed and can be used to build reliable real-world models. | The question names its topic, educational text analytics, explicitly. It contains no source references or undefined terms. | value: This is acceptable but narrow domain knowledge about dataset needs in educational text analytics.</t>
  </si>
  <si>
    <t xml:space="preserve">Given the challenges of educational text analytics, what type of dataset is needed for reliable real-world models?</t>
  </si>
  <si>
    <t xml:space="preserve">What characteristics should a dataset have so reliable real-world educational text models can be built on it?</t>
  </si>
  <si>
    <t xml:space="preserve">artificial-intelligence-bceaf5:0124:q4</t>
  </si>
  <si>
    <t xml:space="preserve">What kinds of specialized training does preparing higher education faculty for artificial intelligence require?</t>
  </si>
  <si>
    <t xml:space="preserve">Preparing faculty for AI requires specialized training in adaptive learning, automated assessment, and data-driven instructional design. It also requires ethical frameworks that ensure alignment with institutional values and the public interest.</t>
  </si>
  <si>
    <t xml:space="preserve">Addressing this challenge requires specialized training in adaptive learning, automated assessment, and data-driven instructional design, as well as ethical frameworks that ensure alignment with institutional values and the public interest (Ciarra Tejada &amp; Parra S´anchez, 2024).</t>
  </si>
  <si>
    <t xml:space="preserve">The answer restates the listed training areas and ethical frameworks. However, the evidence refers only to 'this challenge', so linking it to faculty preparation for AI is a slight contextual assumption. | The question is self-contained, clearly asks about training needs for higher education faculty regarding AI, and does not refer to any unseen source. | value: These are useful recommendations on faculty AI training in higher education.</t>
  </si>
  <si>
    <t xml:space="preserve">Which specialized training areas are needed to get university faculty ready for AI?</t>
  </si>
  <si>
    <t xml:space="preserve">To prepare faculty in higher education for AI, what specialized training is needed?</t>
  </si>
  <si>
    <t xml:space="preserve">stakeholder-engagement-and-strategic-innovation:0006:q0</t>
  </si>
  <si>
    <t xml:space="preserve">How do Stakeholder Theory and Human Capital Theory each contribute to understanding the strategic role of faculty in higher education institutions?</t>
  </si>
  <si>
    <t xml:space="preserve">Stakeholder Theory highlights faculty legitimacy and influence in shaping institutional strategies. Human Capital Theory emphasizes targeted investment in faculty competency as a driver of productivity, innovation, and institutional relevance.</t>
  </si>
  <si>
    <t xml:space="preserve">Stakeholder Theory highlights their legitimacy and influence in shaping institutional strategies, while Human Capital Theory emphasizes targeted investment in faculty competency as a driver of productivity, innovation, and institutional relevance.</t>
  </si>
  <si>
    <t xml:space="preserve">Both statements are taken directly from the evidence, with "their" rendered as "faculty". | The question names both theories and the topic explicitly and does not refer to any unseen source. | value: These are useful theoretical framings of the faculty's strategic role in higher education.</t>
  </si>
  <si>
    <t xml:space="preserve">What does each of Stakeholder Theory and Human Capital Theory emphasize about faculty's strategic role in universities?</t>
  </si>
  <si>
    <t xml:space="preserve">In explaining faculty's strategic role in higher education, what does each of the two theories, Stakeholder Theory and Human Capital Theory, highlight?</t>
  </si>
  <si>
    <t xml:space="preserve">stakeholder-engagement-and-strategic-innovation:0006:q1</t>
  </si>
  <si>
    <t xml:space="preserve">What is Stakeholder Theory's view of organizations?</t>
  </si>
  <si>
    <t xml:space="preserve">Stakeholder Theory conceptualizes organizations as entities embedded within complex environments composed of multiple actors with distinct interests, varying degrees of influence, and legitimate claims on organizational outcomes. In contrast to shareholder-centric models, it advocates inclusive governance that responds to the expectations of diverse stakeholders.</t>
  </si>
  <si>
    <t xml:space="preserve">Stakeholder Theory conceptualizes organizations as entities embedded within complex environments composed of multiple actors who possess distinct interests, varying degrees of influence, and legitimate claims on organizational outcomes (Freeman, 1984; Freeman &amp; McVea, 2005). In contrast to shareholder-centric models, it advocates for inclusive governance that responds to the expectations of diverse stakeholders.</t>
  </si>
  <si>
    <t xml:space="preserve">Every statement in the answer is taken almost verbatim from the evidence. | The question names Stakeholder Theory directly and needs no source context to be understood. | value: This is a general management theory that is only indirectly relevant to AI in higher education.</t>
  </si>
  <si>
    <t xml:space="preserve">How does Stakeholder Theory conceptualize organizations?</t>
  </si>
  <si>
    <t xml:space="preserve">How does Stakeholder Theory conceive of organizations?</t>
  </si>
  <si>
    <t xml:space="preserve">stakeholder-engagement-and-strategic-innovation:0006:q2</t>
  </si>
  <si>
    <t xml:space="preserve">What change has AI brought to the traditional teacher-student relationship in higher education?</t>
  </si>
  <si>
    <t xml:space="preserve">AI has shifted the traditional teacher-student relationship into a more complex teacher-AI-student dynamic.</t>
  </si>
  <si>
    <t xml:space="preserve">There is no doubt that AI has shifted the traditional teacher-student relationship into a more complex teacher-AI-student dynamic.</t>
  </si>
  <si>
    <t xml:space="preserve">Higher Education in the Arab World, p. 98</t>
  </si>
  <si>
    <t xml:space="preserve">The answer restates the evidence almost verbatim, so every statement is directly supported. | The question is self-contained and clearly asks how AI has changed the teacher-student relationship in higher education, with no reference to an unseen source. | value: Useful conceptual point about how AI reshapes pedagogical relationships, though stated briefly.</t>
  </si>
  <si>
    <t xml:space="preserve">In what way has artificial intelligence transformed the conventional relationship between instructors and students in universities?</t>
  </si>
  <si>
    <t xml:space="preserve">How has the arrival of AI modified the long-standing teacher-student relationship in higher education?</t>
  </si>
  <si>
    <t xml:space="preserve">higher-education-in-arab:0053:q0</t>
  </si>
  <si>
    <t xml:space="preserve">What do Saudi Vision 2030 and Oman Vision 2040 direct with respect to AI?</t>
  </si>
  <si>
    <t xml:space="preserve">These visions explore digital transformation and the importance of using AI projects. They give clear directives to launch national programs for the adoption and localization of AI and to accelerate the development of legislation that will enable AI technologies to become an effective force in development sectors. They also provide the required funding.</t>
  </si>
  <si>
    <t xml:space="preserve">These visions explore digital transformation and the importance of using AI projects. They offer clear directives to launch national programs for the adoption and localization of AI, and to accelerate the development of legislation that will enable AI technologies to become an effective force in the development sectors of these countries, and they provide the required funding.</t>
  </si>
  <si>
    <t xml:space="preserve">Higher Education in the Arab World, p. 97</t>
  </si>
  <si>
    <t xml:space="preserve">The answer is a near-verbatim restatement of the evidence. It only rewords slightly ('offer' to 'give') and drops 'of these countries'. | The question names specific national visions and needs no unseen context. | value: National AI policy directives are relevant institutional context but narrow and not specific to higher education.</t>
  </si>
  <si>
    <t xml:space="preserve">What directives on AI are contained in Saudi Vision 2030 and Oman Vision 2040?</t>
  </si>
  <si>
    <t xml:space="preserve">What AI-related measures do the national visions of Saudi Arabia and Oman call for?</t>
  </si>
  <si>
    <t xml:space="preserve">higher-education-in-arab:0053:q1</t>
  </si>
  <si>
    <t xml:space="preserve">Which Gulf Cooperation Council states have put in place policies and regulations for the ethical use of AI?</t>
  </si>
  <si>
    <t xml:space="preserve">GCC states such as the UAE, KSA, Qatar and Oman have put in place policies and regulations for the ethical use of AI, and they have implemented AI in all aspects of HEI work.</t>
  </si>
  <si>
    <t xml:space="preserve">For example, the Gulf Cooperation Council (GCC) states, such as the UAE, KSA, Qatar and Oman, have put in place policies and regulations for the ethical use of AI, and they have implemented AI in all aspects of HEI work. However, some Arab countries have limited resources with which to explore AI and have an inadequate understanding about how to use AI in teaching and learning, or about any other uses of AI in HE.</t>
  </si>
  <si>
    <t xml:space="preserve">The answer restates the evidence almost verbatim, including the 'such as' qualifier and the claim about implementing AI in all aspects of HEI work. | The question spells out Gulf Cooperation Council and asks a clear, self-contained question without referencing the source. | value: This is a narrow regional fact about which countries have ethical AI policies, though it gives relevant policy context for AI in higher education.</t>
  </si>
  <si>
    <t xml:space="preserve">Which member nations of the Gulf Cooperation Council have implemented policies and regulations governing the ethical use of artificial intelligence?</t>
  </si>
  <si>
    <t xml:space="preserve">What Gulf Cooperation Council states have introduced policies and regulations concerning the ethical use of AI?</t>
  </si>
  <si>
    <t xml:space="preserve">higher-education-in-arab:0053:q2</t>
  </si>
  <si>
    <t xml:space="preserve">What limitations do some Arab countries face in using AI in higher education, in contrast to the Gulf Cooperation Council (GCC) states?</t>
  </si>
  <si>
    <t xml:space="preserve">Some Arab countries have limited resources with which to explore AI and an inadequate understanding of how to use AI in teaching and learning or in other higher education uses. By contrast, Gulf Cooperation Council states such as the UAE, KSA, Qatar and Oman have put in place policies and regulations for the ethical use of AI and have implemented AI in all aspects of higher education institution work.</t>
  </si>
  <si>
    <t xml:space="preserve">Every statement in the answer is taken directly from the evidence, which covers both the limited resources of some Arab countries and the GCC states' policies and implementation. | The question is self-contained: the acronym GCC is spelled out and the question does not refer to any source. | value: It gives useful regional context on how ready institutions are to adopt AI in higher education.</t>
  </si>
  <si>
    <t xml:space="preserve">What constraints hold back some Arab countries from using AI in higher education, unlike the Gulf Cooperation Council states?</t>
  </si>
  <si>
    <t xml:space="preserve">Compared with the Gulf Cooperation Council (GCC) states, what constraints hinder certain Arab countries from adopting AI in higher education?</t>
  </si>
  <si>
    <t xml:space="preserve">higher-education-in-arab:0053:q3</t>
  </si>
  <si>
    <t xml:space="preserve">other</t>
  </si>
  <si>
    <t xml:space="preserve">Overlaps #112 and #114 (same GCC vs other Arab states passage); answer dedup missed it.</t>
  </si>
  <si>
    <t xml:space="preserve">A ministry in an Arab state with limited resources and understanding of AI wants to improve higher education AI readiness. What actions should such states take?</t>
  </si>
  <si>
    <t xml:space="preserve">Arab states with limited resources and inadequate understanding of AI need an urgent solution. They should invest in AI, establish public-private partnerships for AI regulation, reskill and upskill their workforces, and collaborate with other Arab countries for mutual support.</t>
  </si>
  <si>
    <t xml:space="preserve">For example, the Gulf Cooperation Council (GCC) states, such as the UAE, KSA, Qatar and Oman, have put in place policies and regulations for the ethical use of AI, and they have implemented AI in all aspects of HEI work. However, some Arab countries have limited resources with which to explore AI and have an inadequate understanding about how to use AI in teaching and learning, or about any other uses of AI in HE. … This requires an urgent solution and these Arab states should:
Invest in AI
Establish public-private partnerships for AI regulation
Reskill and upskill their workforces
Collaborate with other Arab countries for mutual support.</t>
  </si>
  <si>
    <t xml:space="preserve">Higher Education in the Arab World, pp. 97-98</t>
  </si>
  <si>
    <t xml:space="preserve">The answer restates the evidence's description of these states and its four recommended actions without adding anything. | The question describes the scenario fully without referring to an unseen source. | value: These are useful policy recommendations for AI readiness in higher education in a specific regional context.</t>
  </si>
  <si>
    <t xml:space="preserve">What should an Arab country with limited AI capacity do to prepare its higher education sector for AI?</t>
  </si>
  <si>
    <t xml:space="preserve">Which actions should an Arab country with scarce resources and a limited grasp of AI take to strengthen the AI readiness of its higher education sector?</t>
  </si>
  <si>
    <t xml:space="preserve">higher-education-in-arab:0053:q4</t>
  </si>
  <si>
    <t xml:space="preserve">A university language department worries that students will submit AI-generated work and wants to reform its assessment. What assessment changes did EFL teachers at Ha'il University propose to ensure ethical AI use?</t>
  </si>
  <si>
    <t xml:space="preserve">Teachers proposed reformulating grading and assessment. One teacher suggested exams conducted only in person, or at least on campus and supervised by a member of staff. Another said assessment will not be reliable and valid unless more marks go to discussion and debate, with marks given only to those who take part in the discussions.</t>
  </si>
  <si>
    <t xml:space="preserve">Teacher 4 added, "exams only conducted in person, or at least in the university campus supervised by member of staff." Teacher 7 mentioned, "Our assessment will not reliable and valid unless we devote more marks on discussion and debate. Only those who take part in the discussions are given marks".</t>
  </si>
  <si>
    <t xml:space="preserve">Ethical and pedagogical implications of AI in language education: An empirical study at Ha'il University, p. 5</t>
  </si>
  <si>
    <t xml:space="preserve">The specific proposals (in-person or supervised exams, more marks for discussion and debate) match the quoted teachers. The opening framing that teachers proposed 'reformulating grading and assessment' is a summary the evidence does not state verbatim. | The question names Ha'il University and EFL teachers. EFL is a widely understood term, so the question is clear without the source. | value: Assessment redesign to counter AI misuse is useful, practical higher-education knowledge.</t>
  </si>
  <si>
    <t xml:space="preserve">An EFL department fears students will hand in AI-written assignments. Which grading and assessment reforms did teachers at Ha'il University suggest for ethical AI use?</t>
  </si>
  <si>
    <t xml:space="preserve">What changes to grading and assessment did Ha'il University EFL teachers propose so that students use AI ethically?</t>
  </si>
  <si>
    <t xml:space="preserve">ethical-and-pedagogical-implications-of-ai-in:0011:q0</t>
  </si>
  <si>
    <t xml:space="preserve">What did EFL teachers at Ha'il University say educators should use to check student assignments in order to promote ethical AI use?</t>
  </si>
  <si>
    <t xml:space="preserve">Educators reported the need to check students' assignments using AI-based plagiarism detectors. This prevents students from completely depending on AI to do their assignments.</t>
  </si>
  <si>
    <t xml:space="preserve">To use AI ethically, educators reported the need to check students' assignments using AI-based plagiarism detectors. This prevents students from completely depending on AI to do their assignments.</t>
  </si>
  <si>
    <t xml:space="preserve">Both statements in the answer are taken almost verbatim from the evidence. The evidence itself does not name Ha'il University, but the answer does not assert anything beyond what the evidence states. | The question names a specific population (EFL teachers at Ha'il University) and defines its topic clearly. EFL is a widely known acronym. | value: It gives a narrow but relevant practitioner recommendation on ethical AI use in assessment.</t>
  </si>
  <si>
    <t xml:space="preserve">Which tools did Ha'il University EFL teachers say should be used to check students' assignments for ethical AI use?</t>
  </si>
  <si>
    <t xml:space="preserve">To encourage ethical use of AI, which tools did English as a foreign language instructors at Ha'il University say educators ought to use when reviewing students' assignments?</t>
  </si>
  <si>
    <t xml:space="preserve">ethical-and-pedagogical-implications-of-ai-in:0011:q1</t>
  </si>
  <si>
    <t xml:space="preserve">Why did EFL teachers at Ha'il University say AI use should be built into the learning outcomes of the curriculum?</t>
  </si>
  <si>
    <t xml:space="preserve">Teachers reported that to ensure ethical use of AI, it is important to regulate the learning environment. This finding indicates that students should be integrated into using AI as part of the learning outcomes of their curriculum. Kim et al. (2022) similarly argued that integrating AI in education should rest on a curriculum built on ethical instruction, interdisciplinary learning and capacity building.</t>
  </si>
  <si>
    <t xml:space="preserve">Teachers also reported that to ensure ethical use of AI, it is important to regulate the learning environment. This finding indicates that students should be integrated into using AI as part of the learning outcomes of their curriculum. … This finding aligns with Kim et al. (2022) who pointed out that integrating AI in education should be based on designing a curriculum built on ethical instruction, interdisciplinary learning and capacity building.</t>
  </si>
  <si>
    <t xml:space="preserve">The answer closely restates the evidence with only trivial rewording. One caveat: the evidence presents the curriculum-integration point as the researchers' interpretation of the teachers' report, not as something the teachers themselves said. | The question names the specific group (EFL teachers at Ha'il University) and the topic clearly, with no references to unseen context. | value: Concerns ethical AI integration into curriculum learning outcomes, useful but context-specific domain knowledge.</t>
  </si>
  <si>
    <t xml:space="preserve">What reasoning led Ha'il University EFL teachers to conclude that AI use belongs in curriculum learning outcomes?</t>
  </si>
  <si>
    <t xml:space="preserve">What reason did English as a foreign language instructors at Ha'il University give for saying that AI use should be embedded in the curriculum's learning outcomes?</t>
  </si>
  <si>
    <t xml:space="preserve">ethical-and-pedagogical-implications-of-ai-in:0011:q2</t>
  </si>
  <si>
    <t xml:space="preserve">What did EFL teachers at Ha'il University emphasize as a necessary step to make students ethically aware of using AI in their learning?</t>
  </si>
  <si>
    <t xml:space="preserve">Teachers suggested solutions for making students ethically aware of using AI in their learning. They emphasized the necessity of training students to use AI.</t>
  </si>
  <si>
    <t xml:space="preserve">Teachers suggested some solutions for making students ethically aware of using AI in their learning. They emphasized the necessity of training students to use AI.</t>
  </si>
  <si>
    <t xml:space="preserve">The answer restates the evidence almost verbatim; the evidence itself does not name Ha'il University, but the answer adds nothing beyond it. | The question names a specific group (EFL teachers at Ha'il University) and asks a clear question without referring to an unseen source. | value: This is a relevant but narrow finding about AI ethics training from a single study.</t>
  </si>
  <si>
    <t xml:space="preserve">According to EFL teachers at Ha'il University, what must be done with students so they become ethically aware of using AI?</t>
  </si>
  <si>
    <t xml:space="preserve">What necessity did Ha'il University EFL teachers stress for making students ethically aware when using AI in learning?</t>
  </si>
  <si>
    <t xml:space="preserve">ethical-and-pedagogical-implications-of-ai-in:0011:q3</t>
  </si>
  <si>
    <t xml:space="preserve">According to a Ha'il University EFL teacher, how can AI be merged into a self-regulated learning environment?</t>
  </si>
  <si>
    <t xml:space="preserve">Students are assigned to outline their objectives and targets and use AI to explore them. They then come to the teacher for further work on systemizing or filling gaps in knowledge and developing solid knowledge.</t>
  </si>
  <si>
    <t xml:space="preserve">Techer 3 mentioned, "AI can be merged into self-regulated learning environment. Students are assigned to outline their objectives and targets and they are asked to use AI to explore it and come to teacher for further workout on systemizing or filling gaps in knowledge and develop solid knowledge".</t>
  </si>
  <si>
    <t xml:space="preserve">The answer closely restates Teacher 3's quoted description: students outline objectives, use AI to explore them, then return to the teacher to systemize knowledge and fill gaps. | It asks about a specific teacher's view, identified by institution and subject, and uses the common acronym EFL. It does not rely on references like 'the text' or 'the study'. | value: It is a concrete but narrow single-informant example of using AI in self-regulated learning.</t>
  </si>
  <si>
    <t xml:space="preserve">How did a teacher at Ha'il University describe merging AI into self-regulated learning?</t>
  </si>
  <si>
    <t xml:space="preserve">What process did a Ha'il University EFL teacher outline for integrating AI into self-regulated learning?</t>
  </si>
  <si>
    <t xml:space="preserve">ethical-and-pedagogical-implications-of-ai-in:0011:q4</t>
  </si>
  <si>
    <t xml:space="preserve">A university wants to spot students at risk of dropping out and then act early. Which kinds of data could it combine through predictive analytics, and what can it do with the result?</t>
  </si>
  <si>
    <t xml:space="preserve">Using predictive analytics, an institution can combine disparate data sources such as grades, the timing of assignment submissions, Wi-Fi usage and use of university resources like the library and canteens. With these it can identify students at risk and provide suitable interventions.</t>
  </si>
  <si>
    <t xml:space="preserve">Using disparate data sources, such as grades, timing of assignment submissions, as well as Wi-Fi usage and use of university resources (library, canteens, etc.), an institution can identify students at risk and provide suitable interventions.</t>
  </si>
  <si>
    <t xml:space="preserve">Augmented Education in the Global Age: Artificial Intelligence and the Future of Learning and Work, p. 146</t>
  </si>
  <si>
    <t xml:space="preserve">The data sources and the outcome (identifying at-risk students and providing interventions) are stated directly in the evidence. Attributing this to 'predictive analytics' is framing that does not appear in the quoted text. | The question is a self-contained scenario with no reference to an unseen source. | value: It is a useful, concrete example of learning analytics for identifying at-risk students in higher education.</t>
  </si>
  <si>
    <t xml:space="preserve">How could a university use predictive analytics, and which data sources could it draw on, to find struggling students and respond early?</t>
  </si>
  <si>
    <t xml:space="preserve">A college wishes to identify at-risk students ahead of time and step in. What data can predictive analytics combine, and what does that enable the institution to do?</t>
  </si>
  <si>
    <t xml:space="preserve">daniel-araya-peter-2023-augmented-education-in:0075:q0</t>
  </si>
  <si>
    <t xml:space="preserve">In student success analytics, what is nudging and which student outcomes is it meant to achieve?</t>
  </si>
  <si>
    <t xml:space="preserve">Nudging provides appropriately modulated messages via existing communication channels, such as a student Customer Relationship Management (CRM) system, at the right time. It aims to achieve specific student outcomes such as enrollment, recruitment, melt, financial aid and student success.</t>
  </si>
  <si>
    <t xml:space="preserve">Nudging provides appropriately modulated messages via existing communication channels (e.g., student Customer Relationship Management: CRM), at the right time to achieve specific student outcomes such as enrollment, recruitment, melt, financial aid, and student success.</t>
  </si>
  <si>
    <t xml:space="preserve">Every statement in the answer restates the evidence directly. This covers the definition of nudging, the CRM example and the list of outcomes. | The question names its context (student success analytics) and does not refer to any unseen source. | value: It is a useful concept in AI-driven student success analytics, though somewhat specific.</t>
  </si>
  <si>
    <t xml:space="preserve">What does nudging mean when universities use it to support students, and what outcomes does it target?</t>
  </si>
  <si>
    <t xml:space="preserve">How is nudging defined as a student engagement technique, and which outcomes does it aim at?</t>
  </si>
  <si>
    <t xml:space="preserve">daniel-araya-peter-2023-augmented-education-in:0075:q1</t>
  </si>
  <si>
    <t xml:space="preserve">A university wants individualized learner profiles built from the systems it already runs, such as its student information system and learning management system. How does the Discourse Analytics platform build such profiles?</t>
  </si>
  <si>
    <t xml:space="preserve">Discourse Analytics leverages existing data from across university software platforms, including the Student Information System, Learning Management System, Enterprise Resource Planning system and CRM. It builds individualized learner profiles focused on noncognitive aspects such as financial comfort, self-awareness, resilience and curiosity. These profiles are then clustered using a patented Think-Alike Clustering algorithm.</t>
  </si>
  <si>
    <t xml:space="preserve">By leveraging existing data from across university software platforms (Student Information System (SIS), Learning Management System (LMS), Enterprise Resource Planning system (ERP), CRM, etc.) the platform builds individualized learner profiles that focus on noncognitive aspects of the learner (financial comfort, self-awareness, resilience, curiosity) that are then clustered using a patented Think-Alike Clustering algorithm.</t>
  </si>
  <si>
    <t xml:space="preserve">Every statement in the answer is directly stated in the evidence. This covers the data sources, the noncognitive profile aspects and the patented Think-Alike Clustering. | The question names the platform and describes the scenario without relying on any unseen source. | value: This is a narrow, vendor-specific detail about one analytics product, though it is relevant to AI in higher education.</t>
  </si>
  <si>
    <t xml:space="preserve">If a university wants to profile learners using data from its existing software, how does the Discourse Analytics platform go about it?</t>
  </si>
  <si>
    <t xml:space="preserve">A university hopes to generate personalized learner profiles using data from existing systems like its student information system and learning management system. What method does the Discourse Analytics platform use to construct these profiles?</t>
  </si>
  <si>
    <t xml:space="preserve">daniel-araya-peter-2023-augmented-education-in:0075:q2</t>
  </si>
  <si>
    <t xml:space="preserve">What results did Discourse Analytics report for its prescriptive nudges on retention, enrollment yield and mastery?</t>
  </si>
  <si>
    <t xml:space="preserve">Discourse Analytics reports a retention lift of 22%, an increase in enrollment yield of 63%, and acceleration of mastery by 25%.</t>
  </si>
  <si>
    <t xml:space="preserve">The results transform outcomes and include retention lift of 22%, increase in enrollment yield of 63%, and accelerating mastery by 25%.</t>
  </si>
  <si>
    <t xml:space="preserve">The three figures match the evidence exactly, but the quoted passage itself never names Discourse Analytics or prescriptive nudges as the source of the results. | The question names the company and the metrics explicitly and does not depend on unseen context. | value: These are narrow vendor-reported outcome claims about an AI nudging product in higher education.</t>
  </si>
  <si>
    <t xml:space="preserve">What retention, enrollment yield and mastery outcomes does Discourse Analytics claim from its nudges?</t>
  </si>
  <si>
    <t xml:space="preserve">Which figures did Discourse Analytics report for retention lift, enrollment yield increase and mastery acceleration?</t>
  </si>
  <si>
    <t xml:space="preserve">daniel-araya-peter-2023-augmented-education-in:0075:q3</t>
  </si>
  <si>
    <t xml:space="preserve">Vendor's own claims; correctly attributed ('reports').</t>
  </si>
  <si>
    <t xml:space="preserve">What problem was Staffordshire University's Beacon bot designed to help with?</t>
  </si>
  <si>
    <t xml:space="preserve">The Beacon bot at Staffordshire University was designed to help ease the stress and anxiety that many students experience in their first year at university.</t>
  </si>
  <si>
    <t xml:space="preserve">The Beacon bot at the Staffordshire University has been designed to help ease the stress and anxiety that many students experience in their first year at university (Courtois, 2019).</t>
  </si>
  <si>
    <t xml:space="preserve">Augmented Education in the Global Age: Artificial Intelligence and the Future of Learning and Work, p. 147</t>
  </si>
  <si>
    <t xml:space="preserve">The answer directly restates the evidence that the bot was designed to ease first-year students' stress and anxiety. | The question names a specific institution and bot, and needs no other context to be understood. | value: A concrete but narrow example of an AI chatbot used for student wellbeing in higher education.</t>
  </si>
  <si>
    <t xml:space="preserve">Why did Staffordshire University create its Beacon bot?</t>
  </si>
  <si>
    <t xml:space="preserve">What student difficulty is the Beacon bot at Staffordshire University meant to ease?</t>
  </si>
  <si>
    <t xml:space="preserve">daniel-araya-peter-2023-augmented-education-in:0075:q4</t>
  </si>
  <si>
    <t xml:space="preserve">What does a net enrollment rate of 19.7% mean in the Argentine university system, and how many students does the system enroll?</t>
  </si>
  <si>
    <t xml:space="preserve">The Argentine university system brings together 2,164,500 students, 93% of them undergraduates and about 80% in state-run institutions. This number of registered students represents a net enrollment rate of 19.7% for the population of young people aged 18 to 24.</t>
  </si>
  <si>
    <t xml:space="preserve">Considering the population, the Argentine university system brings together 2,164,500 students, of which 93% are undergraduate students, and about 80% are in state-run institutions (national or provincial). The number of registered students represents a net enrollment rate of 19.7% for the population of young people aged 18 to 24 years old (DIU, 2019).</t>
  </si>
  <si>
    <t xml:space="preserve">Every statement in the answer is directly restated from the evidence: the 2,164,500 students, 93% undergraduate, about 80% in state institutions, and the 19.7% net enrollment for ages 18-24. | The question names Argentina and the specific statistic, so it is understandable without seeing the source. | value: These are narrow descriptive statistics about one country's sample, with little conceptual value for responsible AI in higher education.</t>
  </si>
  <si>
    <t xml:space="preserve">In Argentina's university system, what population does the 19.7% net enrollment rate refer to, and what is the total enrollment?</t>
  </si>
  <si>
    <t xml:space="preserve">What is represented by Argentina's 19.7% net enrollment rate, and how many students make up the system?</t>
  </si>
  <si>
    <t xml:space="preserve">budd-l-hall-rajesh-2021-socially-responsible:0027:q4</t>
  </si>
  <si>
    <t xml:space="preserve">A Peruvian law school makes its legal clinic a compulsory course placed late in the degree, when students have often already chosen a specialisation and hold another internship. What problems can arise from this design?</t>
  </si>
  <si>
    <t xml:space="preserve">Almost all Peruvian law schools place clinical education near the end of studies, and 15 of 31 make clinics compulsory. While this theoretically allows better service and more student engagement, the model does not seem to take students' context into account. By then students may already have chosen to specialise in a different area of law and are probably occupied with a dissimilar internship. These factors may severely hinder the quality of service provided to users and the number of cases taken on.</t>
  </si>
  <si>
    <t xml:space="preserve">Second, we found that almost all universities have chosen to implement legal clinical education towards the end of a student's education, often requiring them to have passed a certain set of classes (usually related to procedural law) in order to participate. … Third, out of the 31 universities, 15 stated that clinics are a compulsory course. While this theoretically allows for better service and more student engagement, the model does not seem to take into account the students' context. By the time students take a clinical class, they may already have chosen to specialise in a different area of the law and are probably occupied with another dissimilar internship. These factors may severely hinder the quality of service provided to users and the number of cases taken on.</t>
  </si>
  <si>
    <t xml:space="preserve">Every statement in the answer, including the 15 of 31 figure and the late placement of clinics, is directly stated in the evidence. | The question describes the scenario fully and does not rely on any reference to an unseen source. | value: The pair concerns legal clinic course design in Peru, which is unrelated to AI or responsible AI in higher education and is narrow institutional detail.</t>
  </si>
  <si>
    <t xml:space="preserve">If a law school in Peru requires all students to take a clinic near the end of their studies, when many already specialise elsewhere and work in other internships, what difficulties might follow?</t>
  </si>
  <si>
    <t xml:space="preserve">What issues can a compulsory, late-stage legal clinic cause at a Peruvian law school whose students already have a specialisation and another internship?</t>
  </si>
  <si>
    <t xml:space="preserve">budd-l-hall-rajesh-2021-socially-responsible:0120:q0</t>
  </si>
  <si>
    <t xml:space="preserve">How many of 31 surveyed Peruvian law schools have implemented public interest clinics rather than free legal aid clinics?</t>
  </si>
  <si>
    <t xml:space="preserve">Only 3 of the 31 institutions surveyed have implemented public interest clinics, while the remainder have opted for free legal aid clinics.</t>
  </si>
  <si>
    <t xml:space="preserve">The answer directly restates the evidence: 3 of the 31 surveyed institutions have public interest clinics and the remainder have free legal aid clinics. | The question names the survey by its content (31 Peruvian law schools) and needs no unseen context. | value: This is a narrow survey statistic about Peruvian law clinics, unrelated to responsible AI.</t>
  </si>
  <si>
    <t xml:space="preserve">Out of 31 Peruvian law schools surveyed, how many run public interest clinics?</t>
  </si>
  <si>
    <t xml:space="preserve">How many of the 31 Peruvian law schools surveyed have set up public interest clinics instead of free legal aid clinics?</t>
  </si>
  <si>
    <t xml:space="preserve">budd-l-hall-rajesh-2021-socially-responsible:0120:q1</t>
  </si>
  <si>
    <t xml:space="preserve">How are free legal aid clinics and public interest clinics distributed across Peruvian universities, and why might public interest clinics be concentrated where they are?</t>
  </si>
  <si>
    <t xml:space="preserve">Free legal aid clinics are evenly distributed in public and private universities throughout the country. Public interest clinics are concentrated in three private universities in Lima, the capital. This could be because there are only few dedicated public interest lawyers in Peru, and the Supreme Court and Constitutional Court are both in Lima.</t>
  </si>
  <si>
    <t xml:space="preserve">The research shows that free legal aid clinics are evenly distributed in public and private universities throughout the country, while public interest clinics are concentrated in three private universities in Lima, Peru's capital. This could be because there only few dedicated public interest lawyers in Peru, and the high courts of Peru (Supreme Court and Constitutional Court) are both in Lima.</t>
  </si>
  <si>
    <t xml:space="preserve">Every statement in the answer is directly stated in the evidence, with only trivial rewording. | The question names the clinic types and the country explicitly and does not refer to any unseen source. | value: Clinic distribution in Peruvian law schools is narrow, region-specific higher-education detail unrelated to AI.</t>
  </si>
  <si>
    <t xml:space="preserve">Where are free legal aid clinics and public interest clinics located among Peruvian universities, and what might explain the concentration of public interest clinics?</t>
  </si>
  <si>
    <t xml:space="preserve">What is the geographic and public-private distribution of the two clinic types in Peru, and what possible reason is given for where public interest clinics are found?</t>
  </si>
  <si>
    <t xml:space="preserve">budd-l-hall-rajesh-2021-socially-responsible:0120:q3</t>
  </si>
  <si>
    <t xml:space="preserve">How does a systematic review of generative AI in entrepreneurship education suggest researchers test its influence across cultural and institutional contexts?</t>
  </si>
  <si>
    <t xml:space="preserve">The review suggests methodological strategies such as structural equation modeling (SEM), hierarchical linear modeling (HLM), and longitudinal mixed-methods designs to test generative AI's influence across cultural and institutional contexts rigorously.</t>
  </si>
  <si>
    <t xml:space="preserve">In addition, the review suggests methodological strategies, such as structural equation modeling (SEM), hierarchical linear modeling (HLM), and longitudinal mixed-methods designs, to test GAI's influence across cultural and institutional contexts rigorously.</t>
  </si>
  <si>
    <t xml:space="preserve">The answer directly restates the evidence, which names SEM, HLM and longitudinal mixed-methods designs for testing influence across cultural and institutional contexts. | The question identifies the systematic review by its content, generative AI in entrepreneurship education, and spells out its terms, so it is understandable without the source. | value: This concerns research methodology rather than core responsible-AI knowledge.</t>
  </si>
  <si>
    <t xml:space="preserve">What methodological strategies does a systematic review propose for rigorously testing generative AI's influence in entrepreneurship education across cultural and institutional contexts?</t>
  </si>
  <si>
    <t xml:space="preserve">Which research methods are suggested to test generative AI's influence across cultural and institutional contexts in entrepreneurship education?</t>
  </si>
  <si>
    <t xml:space="preserve">toward-understanding-the-role-of-generative-ai:0000:q4</t>
  </si>
  <si>
    <t xml:space="preserve">Agree with filter: methodology (SEM/HLM).</t>
  </si>
  <si>
    <t xml:space="preserve">A researcher reviewing generative AI in entrepreneurship education finds a pre-2022 paper that uses the vague label "Artificial Intelligence" and describes a prototype system that produces content. Under what conditions could that paper still be retained in the review?</t>
  </si>
  <si>
    <t xml:space="preserve">Studies were retained only if they showed a clear conceptual or technical alignment with the core characteristics of generative AI, such as GANs, LLMs, transformer-based architectures, or neural networks designed for content generation. Earlier studies on algorithmic foundations, prototype generative systems, or theoretical frameworks directly relevant to functionalities later embodied in generative tools were considered eligible, particularly those published before 2022, prior to the public release of large-scale platforms such as ChatGPT and DALL-E.</t>
  </si>
  <si>
    <t xml:space="preserve">Specifically, studies were retained only if they demonstrated a clear conceptual or technical alignment with the core characteristics of GAI including the use of generative adversarial networks (GANs), LLMs, transformer-based architectures, or neural networks specifically designed for content generation. … Earlier studies that focused on algorithmic foundations, prototype generative systems, or theoretical frameworks directly relevant to the functionalities later embodied in generative tools were considered eligible for inclusion particularly those published prior to 2022, before the public release of large-scale GAI platforms such as ChatGPT and DALL-E.</t>
  </si>
  <si>
    <t xml:space="preserve">not_standalone(prefilter:'the review')</t>
  </si>
  <si>
    <t xml:space="preserve">prefilter: the review</t>
  </si>
  <si>
    <t xml:space="preserve">A reviewer of generative AI in entrepreneurship education encounters a pre-2022 paper that uses the ambiguous term "Artificial Intelligence" and presents a prototype content-producing system. When may it be kept in the review?</t>
  </si>
  <si>
    <t xml:space="preserve">When can an older pre-2022 paper that ambiguously refers to "Artificial Intelligence" but describes a prototype generative system be retained in a review of generative AI in entrepreneurship education?</t>
  </si>
  <si>
    <t xml:space="preserve">toward-understanding-the-role-of-generative-ai:0005:q0</t>
  </si>
  <si>
    <t xml:space="preserve">Agree with filter: review inclusion criteria (prefilter hit is a false positive, but the pair is low value anyway).</t>
  </si>
  <si>
    <t xml:space="preserve">In a systematic review of generative AI in entrepreneurship education, what technical alignment with generative AI had a study to demonstrate to be retained?</t>
  </si>
  <si>
    <t xml:space="preserve">Studies were retained only if they demonstrated a clear conceptual or technical alignment with the core characteristics of generative AI. This included the use of generative adversarial networks (GANs), LLMs, transformer-based architectures, or neural networks specifically designed for content generation.</t>
  </si>
  <si>
    <t xml:space="preserve">Specifically, studies were retained only if they demonstrated a clear conceptual or technical alignment with the core characteristics of GAI including the use of generative adversarial networks (GANs), LLMs, transformer-based architectures, or neural networks specifically designed for content generation.</t>
  </si>
  <si>
    <t xml:space="preserve">The answer restates the evidence directly. It expands GAI to generative AI and leaves the listed technologies unchanged. | The question identifies the review by its topic and is understandable without the source, although its phrasing is awkward. | value: This concerns the inclusion criteria of a systematic review, which is methodology rather than domain knowledge.</t>
  </si>
  <si>
    <t xml:space="preserve">What conceptual or technical characteristics of generative AI did a study need to show to be kept in a review of generative AI in entrepreneurship education?</t>
  </si>
  <si>
    <t xml:space="preserve">Which kinds of technologies counted as aligning with generative AI when deciding whether to retain studies in a review on entrepreneurship education?</t>
  </si>
  <si>
    <t xml:space="preserve">toward-understanding-the-role-of-generative-ai:0005:q1</t>
  </si>
  <si>
    <t xml:space="preserve">Why is quality assessment during full-text review considered important in systematic evaluations?</t>
  </si>
  <si>
    <t xml:space="preserve">Quality assessment during full-text review is a critical step in systematic evaluations because it significantly impacts the reliability of research findings.</t>
  </si>
  <si>
    <t xml:space="preserve">During the full-text review, a quality assessment was conducted, a critical step in systematic evaluations that significantly impacts the reliability of research findings (Okoli, 2015; Xiao &amp; Watson, 2019).</t>
  </si>
  <si>
    <t xml:space="preserve">The answer directly restates the evidence that quality assessment is a critical step that significantly impacts the reliability of research findings. | The question is self-contained and needs no source context to understand. | value: This concerns systematic review methodology rather than responsible AI or AI in higher education.</t>
  </si>
  <si>
    <t xml:space="preserve">Why does quality assessment matter during the full-text review stage of a systematic review?</t>
  </si>
  <si>
    <t xml:space="preserve">What makes quality assessment in full-text review a critical step in systematic evaluations?</t>
  </si>
  <si>
    <t xml:space="preserve">toward-understanding-the-role-of-generative-ai:0005:q3</t>
  </si>
  <si>
    <t xml:space="preserve">Why is it hard to establish causal relationships about generative AI's influence on entrepreneurship education, and what should future research integrate?</t>
  </si>
  <si>
    <t xml:space="preserve">The review used thematic analysis without a meta-analysis, which could provide a quantitative assessment of generative AI's influence, and reliance on prior research limits the ability to establish causal relationships. Future research should integrate systematic meta-analyses and longitudinal empirical studies to validate the mechanisms through which generative AI improves entrepreneurial competencies and outcomes.</t>
  </si>
  <si>
    <t xml:space="preserve">This study employs thematic analysis to synthesize existing research and identify key trends; however, it does not include a meta-analysis, which could provide a quantitative assessment of GAI's influence. Moreover, reliance on prior research limits the ability to establish causal relationships. Future research should integrate systematic meta-analyses and longitudinal empirical studies to validate the mechanisms through which GAI improves entrepreneurial competencies and outcomes.</t>
  </si>
  <si>
    <t xml:space="preserve">Every statement in the answer is a close restatement of the evidence: thematic analysis without meta-analysis, reliance on prior research, and the call for meta-analyses and longitudinal studies. | The question reads as if it concerns the field in general, but the expected answer describes one unnamed review's methodological limitations. That cannot be known without the source. | value: It concerns a single study's research-methodology limitations and future-research suggestions, which is low-value methodology content.</t>
  </si>
  <si>
    <t xml:space="preserve">What limits causal claims about generative AI's influence on entrepreneurship education, and what future methods are suggested?</t>
  </si>
  <si>
    <t xml:space="preserve">Why can causality not be established in current research on generative AI in entrepreneurship education, and what should later studies include?</t>
  </si>
  <si>
    <t xml:space="preserve">toward-understanding-the-role-of-generative-ai:0033:q3</t>
  </si>
  <si>
    <t xml:space="preserve">Agree with filter: the review's own limitations; borderline.</t>
  </si>
  <si>
    <t xml:space="preserve">Which regions did Sanusi et al. (2022) and D. Lee et al. (2022) focus on when adapting AI competencies regionally?</t>
  </si>
  <si>
    <t xml:space="preserve">Sanusi et al. (2022) focused on Africa and D. Lee et al. (2022) focused on Korea.</t>
  </si>
  <si>
    <t xml:space="preserve">Regional adaptations are seen in studies by Sanusi et al. (2022) and D. Lee et al. (2022) focusing on AI competencies within Africa and Korea, respectively.</t>
  </si>
  <si>
    <t xml:space="preserve">The evidence directly states that Sanusi et al. focused on Africa and D. Lee et al. focused on Korea. | The question names the specific studies and asks clearly about the regions they covered, without referring to an unseen source. | value: Which regions particular studies covered is low-value study-coverage detail.</t>
  </si>
  <si>
    <t xml:space="preserve">Where did Sanusi et al. (2022) and D. Lee et al. (2022) respectively adapt AI competencies regionally?</t>
  </si>
  <si>
    <t xml:space="preserve">Sanusi et al. (2022) and D. Lee et al. (2022) adapted AI competencies for which two regions, respectively?</t>
  </si>
  <si>
    <t xml:space="preserve">be-aiware-an-ai-competency-model-for-k-12:0004:q2</t>
  </si>
  <si>
    <t xml:space="preserve">What kind of framework did Blok et al. (2021) develop to address higher education competencies, and how?</t>
  </si>
  <si>
    <t xml:space="preserve">Blok et al. (2021) developed a K-16 framework through collaborative academic partnerships.</t>
  </si>
  <si>
    <t xml:space="preserve">Higher education competencies are addressed by Blok et al. (2021), who developed a K-16 framework through collaborative academic partnerships.</t>
  </si>
  <si>
    <t xml:space="preserve">The answer directly restates the evidence: a K-16 framework developed through collaborative academic partnerships. | The question names a specific study by author and year and asks a clear question about it, without referring to unseen context. | value: The pair is a narrow citation detail about one paper's framework, with little substantive domain knowledge.</t>
  </si>
  <si>
    <t xml:space="preserve">How did Blok et al. (2021) address higher education competencies in AI?</t>
  </si>
  <si>
    <t xml:space="preserve">What framework did Blok et al. (2021) create for higher education competencies, and through what means?</t>
  </si>
  <si>
    <t xml:space="preserve">be-aiware-an-ai-competency-model-for-k-12:0004:q3</t>
  </si>
  <si>
    <t xml:space="preserve">By how many competencies was the Be AIware K-12 AI competency list reduced through iterative focus group refinement?</t>
  </si>
  <si>
    <t xml:space="preserve">The competency list was refined from 140 to 98 by excluding duplicates and renaming some items.</t>
  </si>
  <si>
    <t xml:space="preserve">This process resulted in refining the competencies from 140 to 98 by excluding duplicates and renaming some.</t>
  </si>
  <si>
    <t xml:space="preserve">The answer's figures (140 to 98) and the reasons given (excluding duplicates and renaming some items) are directly stated in the evidence. The answer does not explicitly state the difference of 42, but it involves no unsupported claim. | The question names the specific Be AIware K-12 competency list and the refinement process, so it is understandable without seeing the source. | value: A count of how many items were dropped during development is a methodological detail with little substantive domain value.</t>
  </si>
  <si>
    <t xml:space="preserve">How many competencies were in the Be AIware K-12 list before and after focus group refinement?</t>
  </si>
  <si>
    <t xml:space="preserve">Through focus group refinement, the Be AIware K-12 competency list went from how many items to how many?</t>
  </si>
  <si>
    <t xml:space="preserve">be-aiware-an-ai-competency-model-for-k-12:0008:q1</t>
  </si>
  <si>
    <t xml:space="preserve">What are the two components of the AI in Business Environments module assignment, and how are they weighted?</t>
  </si>
  <si>
    <t xml:space="preserve">The assignment has two components: an AI model development and business application report (50%) and an AI strategy and implementation proposal (50%).</t>
  </si>
  <si>
    <t xml:space="preserve">The module assignment consisted of two key components: an AI model development and business application report (50 %), and an AI strategy and implementation proposal (50 %). This assignment was structured to ensure that students demonstrated their ability to develop AI models, analyse their impact on business-economics decision-making, and formulate strategic recommendations for AI integration in real-world business environments.</t>
  </si>
  <si>
    <t xml:space="preserve">The answer directly restates the two components and their 50/50 weighting from the evidence. | The question names the module by its title and contains no references to an unseen source. | value: Assignment components and weights are course logistics of low general value.</t>
  </si>
  <si>
    <t xml:space="preserve">How is the AI in Business Environments module assignment divided, and what weight does each part carry?</t>
  </si>
  <si>
    <t xml:space="preserve">Which two parts make up the assignment in the AI in Business Environments module, and what percentage is each worth?</t>
  </si>
  <si>
    <t xml:space="preserve">the-formation-of-ai-capital-in-higher-education:0012:q2</t>
  </si>
  <si>
    <t xml:space="preserve">What must students address about risks and stakeholders in the AI strategy and implementation proposal of the AI in Business Environments module?</t>
  </si>
  <si>
    <t xml:space="preserve">Students were expected to discuss potential risks, including AI security, ethical concerns and regulatory compliance, and to propose strategies for effective risk mitigation. They also had to evaluate stakeholder engagement by outlining strategies for change management, cross-functional collaboration and organisational adoption.</t>
  </si>
  <si>
    <t xml:space="preserve">In addition, students were expected to discuss potential risks, including AI security, ethical concerns, and regulatory compliance (LO17, LO18, LO38, LO39), and propose strategies for effective risk mitigation. A key aspect of this assignment involved evaluating stakeholder engagement, where students had to outline strategies for change management, crossfunctional collaboration, and organisational adoption (LO40).</t>
  </si>
  <si>
    <t xml:space="preserve">Every statement in the answer restates the evidence directly, with only trivial rewording. | The question names the specific module and assignment by their content, so a reader can understand it without seeing the source. | value: The pair concerns the requirements of one course assignment, which counts as course logistics.</t>
  </si>
  <si>
    <t xml:space="preserve">In the AI strategy and implementation proposal, what risk and stakeholder topics are students expected to cover?</t>
  </si>
  <si>
    <t xml:space="preserve">What do students have to discuss regarding risks and stakeholder engagement in the module's AI strategy and implementation proposal?</t>
  </si>
  <si>
    <t xml:space="preserve">the-formation-of-ai-capital-in-higher-education:0012:q3</t>
  </si>
  <si>
    <t xml:space="preserve">What deployment topics must the AI strategy and implementation proposal address in the AI in Business Environments module?</t>
  </si>
  <si>
    <t xml:space="preserve">The proposal needed to address AI deployment strategies, integration into existing business processes, and deployment considerations such as cloud-based versus on-premise solutions.</t>
  </si>
  <si>
    <t xml:space="preserve">This assessment required students to submit a 2000-word report outlining a business function where AI could generate a competitive advantage (LO32) and to develop a comprehensive AI implementation plan. Their proposal needed to address AI deployment strategies (LO28), integration into existing business processes (LO36), and deployment considerations, such as cloud-based versus on-premise solutions (LO11, LO12).</t>
  </si>
  <si>
    <t xml:space="preserve">The answer restates the evidence directly: deployment strategies, integration into existing business processes, and cloud-based versus on-premise considerations. | The question names the specific module and the assessment by their content, so a reader without the source understands what is being asked. | value: This concerns course assessment logistics for a single module rather than core responsible-AI knowledge.</t>
  </si>
  <si>
    <t xml:space="preserve">Which deployment-related issues does the module's AI strategy and implementation proposal need to cover?</t>
  </si>
  <si>
    <t xml:space="preserve">What must students' AI implementation plans address regarding deployment in the AI in Business Environments module?</t>
  </si>
  <si>
    <t xml:space="preserve">the-formation-of-ai-capital-in-higher-education:0012:q4</t>
  </si>
  <si>
    <t xml:space="preserve">How many course reviews and ratings does the MOOCRev repository contain?</t>
  </si>
  <si>
    <t xml:space="preserve">MOOCRev contains over 1,250,000 course reviews and ratings. Its creators say that, to the best of their knowledge, this makes it the largest publicly accessible MOOC review dataset.</t>
  </si>
  <si>
    <t xml:space="preserve">The dataset encompasses many review characteristics (over 1,250,000 course reviews and ratings), making it, to the best of our knowledge, the largest publicly accessible MOOC review dataset.</t>
  </si>
  <si>
    <t xml:space="preserve">Both the figure of over 1,250,000 reviews and ratings and the 'largest publicly accessible' claim, hedged with 'to the best of our knowledge', are stated directly in the evidence. | MOOCRev is a named dataset, so the question is understandable without the source, though the acronym is not expanded. | value: The size of a dataset is a low-value, trivia-like detail about research resources.</t>
  </si>
  <si>
    <t xml:space="preserve">What is the number of course reviews and ratings in MOOCRev?</t>
  </si>
  <si>
    <t xml:space="preserve">MOOCRev aggregates how many MOOC reviews and ratings?</t>
  </si>
  <si>
    <t xml:space="preserve">artificial-intelligence-bceaf5:0124:q1</t>
  </si>
  <si>
    <t xml:space="preserve">Review progress</t>
  </si>
  <si>
    <t xml:space="preserve">Rows reviewed</t>
  </si>
  <si>
    <t xml:space="preserve">Priority rows reviewed (of 20)</t>
  </si>
  <si>
    <t xml:space="preserve">Human accept rate among filter-passed pairs</t>
  </si>
  <si>
    <t xml:space="preserve">You vs automatic filters (reviewed rows)</t>
  </si>
  <si>
    <t xml:space="preserve">Human accept</t>
  </si>
  <si>
    <t xml:space="preserve">Human reject</t>
  </si>
  <si>
    <t xml:space="preserve">Filters passed</t>
  </si>
  <si>
    <t xml:space="preserve">Filters rejected</t>
  </si>
  <si>
    <t xml:space="preserve">Observed agreement</t>
  </si>
  <si>
    <t xml:space="preserve">Cohen's kappa</t>
  </si>
  <si>
    <t xml:space="preserve">You vs Claude pre-screen (reviewed rows; Claude 'borderline' excluded)</t>
  </si>
  <si>
    <t xml:space="preserve">Claude accept</t>
  </si>
  <si>
    <t xml:space="preserve">Claude reject</t>
  </si>
  <si>
    <t xml:space="preserve">Claude borderline: you accepted / rejected</t>
  </si>
  <si>
    <t xml:space="preserve">Your reject categories</t>
  </si>
  <si>
    <t xml:space="preserve">incorrect</t>
  </si>
  <si>
    <t xml:space="preserve">unsupported</t>
  </si>
  <si>
    <t xml:space="preserve">not_standalone</t>
  </si>
  <si>
    <t xml:space="preserve">Kappa above ~0.6 = the judge broadly matches your standard. Claude (Opus 5.5) is the same model as the judge, so the Claude comparison is not an independent rater.</t>
  </si>
</sst>
</file>

<file path=xl/styles.xml><?xml version="1.0" encoding="utf-8"?>
<styleSheet xmlns="http://schemas.openxmlformats.org/spreadsheetml/2006/main">
  <numFmts count="4">
    <numFmt numFmtId="164" formatCode="General"/>
    <numFmt numFmtId="165" formatCode="General"/>
    <numFmt numFmtId="166" formatCode="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7F6000"/>
        <bgColor rgb="FF993300"/>
      </patternFill>
    </fill>
    <fill>
      <patternFill patternType="solid">
        <fgColor rgb="FFFFF2CC"/>
        <bgColor rgb="FFFFEB9C"/>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DDEBF7"/>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6.85" hidden="false" customHeight="false" outlineLevel="0" collapsed="false">
      <c r="A4" s="2" t="s">
        <v>2</v>
      </c>
    </row>
    <row r="5" customFormat="false" ht="15" hidden="false" customHeight="false" outlineLevel="0" collapsed="false">
      <c r="A5" s="2" t="s">
        <v>3</v>
      </c>
    </row>
    <row r="6" customFormat="false" ht="26.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3" t="s">
        <v>17</v>
      </c>
    </row>
    <row r="23" customFormat="false" ht="26.85" hidden="false" customHeight="false" outlineLevel="0" collapsed="false">
      <c r="A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1"/>
  <cols>
    <col collapsed="false" customWidth="true" hidden="false" outlineLevel="0" max="1" min="1" style="0" width="5"/>
    <col collapsed="false" customWidth="true" hidden="false" outlineLevel="0" max="2" min="2" style="0" width="9"/>
    <col collapsed="false" customWidth="true" hidden="false" outlineLevel="0" max="3" min="3" style="0" width="14"/>
    <col collapsed="false" customWidth="true" hidden="false" outlineLevel="0" max="4" min="4" style="0" width="18"/>
    <col collapsed="false" customWidth="true" hidden="false" outlineLevel="0" max="5" min="5" style="0" width="30"/>
    <col collapsed="false" customWidth="true" hidden="false" outlineLevel="0" max="6" min="6" style="0" width="45"/>
    <col collapsed="false" customWidth="true" hidden="false" outlineLevel="0" max="8" min="7" style="0" width="55"/>
    <col collapsed="false" customWidth="true" hidden="false" outlineLevel="0" max="9" min="9" style="0" width="22"/>
    <col collapsed="false" customWidth="true" hidden="false" outlineLevel="0" max="11" min="10" style="0" width="10"/>
    <col collapsed="false" customWidth="true" hidden="false" outlineLevel="0" max="12" min="12" style="0" width="20"/>
    <col collapsed="false" customWidth="true" hidden="false" outlineLevel="0" max="13" min="13" style="0" width="12"/>
    <col collapsed="false" customWidth="true" hidden="false" outlineLevel="0" max="14" min="14" style="0" width="10"/>
    <col collapsed="false" customWidth="true" hidden="false" outlineLevel="0" max="15" min="15" style="0" width="18"/>
    <col collapsed="false" customWidth="true" hidden="false" outlineLevel="0" max="16" min="16" style="0" width="10"/>
    <col collapsed="false" customWidth="true" hidden="false" outlineLevel="0" max="17" min="17" style="0" width="8"/>
    <col collapsed="false" customWidth="true" hidden="false" outlineLevel="0" max="18" min="18" style="0" width="45"/>
    <col collapsed="false" customWidth="true" hidden="false" outlineLevel="0" max="20" min="19" style="0" width="35"/>
    <col collapsed="false" customWidth="true" hidden="false" outlineLevel="0" max="21" min="21" style="0" width="18"/>
    <col collapsed="false" customWidth="true" hidden="false" outlineLevel="0" max="22" min="22" style="0" width="40"/>
    <col collapsed="false" customWidth="true" hidden="true" outlineLevel="1" max="25" min="23" style="0" width="14"/>
  </cols>
  <sheetData>
    <row r="1" customFormat="false" ht="30"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c r="T1" s="4" t="s">
        <v>38</v>
      </c>
      <c r="U1" s="4" t="s">
        <v>39</v>
      </c>
      <c r="V1" s="4" t="s">
        <v>40</v>
      </c>
      <c r="W1" s="5" t="s">
        <v>41</v>
      </c>
      <c r="X1" s="5" t="s">
        <v>42</v>
      </c>
      <c r="Y1" s="5" t="s">
        <v>43</v>
      </c>
    </row>
    <row r="2" customFormat="false" ht="102.2" hidden="false" customHeight="false" outlineLevel="0" collapsed="false">
      <c r="A2" s="6" t="n">
        <v>1</v>
      </c>
      <c r="B2" s="7" t="b">
        <f aca="false">TRUE()</f>
        <v>1</v>
      </c>
      <c r="C2" s="8"/>
      <c r="D2" s="8"/>
      <c r="E2" s="8"/>
      <c r="F2" s="6" t="s">
        <v>44</v>
      </c>
      <c r="G2" s="6" t="s">
        <v>45</v>
      </c>
      <c r="H2" s="6" t="s">
        <v>46</v>
      </c>
      <c r="I2" s="6" t="s">
        <v>47</v>
      </c>
      <c r="J2" s="7" t="b">
        <f aca="false">TRUE()</f>
        <v>1</v>
      </c>
      <c r="K2" s="7" t="b">
        <f aca="false">TRUE()</f>
        <v>1</v>
      </c>
      <c r="L2" s="6"/>
      <c r="M2" s="6" t="s">
        <v>48</v>
      </c>
      <c r="N2" s="6" t="s">
        <v>49</v>
      </c>
      <c r="O2" s="6" t="s">
        <v>50</v>
      </c>
      <c r="P2" s="6" t="n">
        <v>5</v>
      </c>
      <c r="Q2" s="6" t="n">
        <v>4</v>
      </c>
      <c r="R2" s="6" t="s">
        <v>51</v>
      </c>
      <c r="S2" s="6" t="s">
        <v>52</v>
      </c>
      <c r="T2" s="6" t="s">
        <v>53</v>
      </c>
      <c r="U2" s="6" t="s">
        <v>54</v>
      </c>
      <c r="V2" s="6" t="s">
        <v>55</v>
      </c>
      <c r="W2" s="6" t="s">
        <v>56</v>
      </c>
      <c r="X2" s="6"/>
      <c r="Y2" s="6" t="s">
        <v>57</v>
      </c>
    </row>
    <row r="3" customFormat="false" ht="91" hidden="false" customHeight="false" outlineLevel="0" collapsed="false">
      <c r="A3" s="6" t="n">
        <v>2</v>
      </c>
      <c r="B3" s="7" t="b">
        <f aca="false">TRUE()</f>
        <v>1</v>
      </c>
      <c r="C3" s="8"/>
      <c r="D3" s="8"/>
      <c r="E3" s="8"/>
      <c r="F3" s="6" t="s">
        <v>58</v>
      </c>
      <c r="G3" s="6" t="s">
        <v>59</v>
      </c>
      <c r="H3" s="6" t="s">
        <v>60</v>
      </c>
      <c r="I3" s="6" t="s">
        <v>61</v>
      </c>
      <c r="J3" s="7" t="b">
        <f aca="false">TRUE()</f>
        <v>1</v>
      </c>
      <c r="K3" s="7" t="b">
        <f aca="false">TRUE()</f>
        <v>1</v>
      </c>
      <c r="L3" s="6"/>
      <c r="M3" s="6" t="s">
        <v>62</v>
      </c>
      <c r="N3" s="6" t="s">
        <v>63</v>
      </c>
      <c r="O3" s="6" t="s">
        <v>64</v>
      </c>
      <c r="P3" s="6" t="n">
        <v>5</v>
      </c>
      <c r="Q3" s="6" t="n">
        <v>4</v>
      </c>
      <c r="R3" s="6" t="s">
        <v>65</v>
      </c>
      <c r="S3" s="6" t="s">
        <v>66</v>
      </c>
      <c r="T3" s="6" t="s">
        <v>67</v>
      </c>
      <c r="U3" s="6" t="s">
        <v>54</v>
      </c>
      <c r="V3" s="6" t="s">
        <v>68</v>
      </c>
      <c r="W3" s="6" t="s">
        <v>56</v>
      </c>
      <c r="X3" s="6"/>
      <c r="Y3" s="6"/>
    </row>
    <row r="4" customFormat="false" ht="79.85" hidden="false" customHeight="false" outlineLevel="0" collapsed="false">
      <c r="A4" s="6" t="n">
        <v>3</v>
      </c>
      <c r="B4" s="7" t="b">
        <f aca="false">TRUE()</f>
        <v>1</v>
      </c>
      <c r="C4" s="8"/>
      <c r="D4" s="8"/>
      <c r="E4" s="8"/>
      <c r="F4" s="6" t="s">
        <v>69</v>
      </c>
      <c r="G4" s="6" t="s">
        <v>70</v>
      </c>
      <c r="H4" s="6" t="s">
        <v>71</v>
      </c>
      <c r="I4" s="6" t="s">
        <v>72</v>
      </c>
      <c r="J4" s="7" t="b">
        <f aca="false">TRUE()</f>
        <v>1</v>
      </c>
      <c r="K4" s="7" t="b">
        <f aca="false">TRUE()</f>
        <v>1</v>
      </c>
      <c r="L4" s="6"/>
      <c r="M4" s="6" t="s">
        <v>73</v>
      </c>
      <c r="N4" s="6" t="s">
        <v>49</v>
      </c>
      <c r="O4" s="6" t="s">
        <v>74</v>
      </c>
      <c r="P4" s="6" t="n">
        <v>4</v>
      </c>
      <c r="Q4" s="6" t="n">
        <v>4</v>
      </c>
      <c r="R4" s="6" t="s">
        <v>75</v>
      </c>
      <c r="S4" s="6" t="s">
        <v>76</v>
      </c>
      <c r="T4" s="6" t="s">
        <v>77</v>
      </c>
      <c r="U4" s="6" t="s">
        <v>54</v>
      </c>
      <c r="V4" s="6" t="s">
        <v>78</v>
      </c>
      <c r="W4" s="6" t="s">
        <v>56</v>
      </c>
      <c r="X4" s="6"/>
      <c r="Y4" s="6"/>
    </row>
    <row r="5" customFormat="false" ht="102.2" hidden="false" customHeight="false" outlineLevel="0" collapsed="false">
      <c r="A5" s="6" t="n">
        <v>4</v>
      </c>
      <c r="B5" s="7" t="b">
        <f aca="false">TRUE()</f>
        <v>1</v>
      </c>
      <c r="C5" s="8"/>
      <c r="D5" s="8"/>
      <c r="E5" s="8"/>
      <c r="F5" s="6" t="s">
        <v>79</v>
      </c>
      <c r="G5" s="6" t="s">
        <v>80</v>
      </c>
      <c r="H5" s="6" t="s">
        <v>81</v>
      </c>
      <c r="I5" s="6" t="s">
        <v>82</v>
      </c>
      <c r="J5" s="7" t="b">
        <f aca="false">TRUE()</f>
        <v>1</v>
      </c>
      <c r="K5" s="7" t="b">
        <f aca="false">FALSE()</f>
        <v>0</v>
      </c>
      <c r="L5" s="6"/>
      <c r="M5" s="6" t="s">
        <v>83</v>
      </c>
      <c r="N5" s="6" t="s">
        <v>84</v>
      </c>
      <c r="O5" s="6" t="s">
        <v>64</v>
      </c>
      <c r="P5" s="6" t="n">
        <v>4</v>
      </c>
      <c r="Q5" s="6" t="n">
        <v>4</v>
      </c>
      <c r="R5" s="6" t="s">
        <v>85</v>
      </c>
      <c r="S5" s="6" t="s">
        <v>86</v>
      </c>
      <c r="T5" s="6" t="s">
        <v>87</v>
      </c>
      <c r="U5" s="6" t="s">
        <v>54</v>
      </c>
      <c r="V5" s="6" t="s">
        <v>88</v>
      </c>
      <c r="W5" s="6" t="s">
        <v>56</v>
      </c>
      <c r="X5" s="6"/>
      <c r="Y5" s="6"/>
    </row>
    <row r="6" customFormat="false" ht="68.65" hidden="false" customHeight="false" outlineLevel="0" collapsed="false">
      <c r="A6" s="6" t="n">
        <v>5</v>
      </c>
      <c r="B6" s="7" t="b">
        <f aca="false">TRUE()</f>
        <v>1</v>
      </c>
      <c r="C6" s="8"/>
      <c r="D6" s="8"/>
      <c r="E6" s="8"/>
      <c r="F6" s="6" t="s">
        <v>89</v>
      </c>
      <c r="G6" s="6" t="s">
        <v>90</v>
      </c>
      <c r="H6" s="6" t="s">
        <v>91</v>
      </c>
      <c r="I6" s="6" t="s">
        <v>92</v>
      </c>
      <c r="J6" s="7" t="b">
        <f aca="false">TRUE()</f>
        <v>1</v>
      </c>
      <c r="K6" s="7" t="b">
        <f aca="false">FALSE()</f>
        <v>0</v>
      </c>
      <c r="L6" s="6"/>
      <c r="M6" s="6" t="s">
        <v>62</v>
      </c>
      <c r="N6" s="6" t="s">
        <v>63</v>
      </c>
      <c r="O6" s="6" t="s">
        <v>64</v>
      </c>
      <c r="P6" s="6" t="n">
        <v>5</v>
      </c>
      <c r="Q6" s="6" t="n">
        <v>3</v>
      </c>
      <c r="R6" s="6" t="s">
        <v>93</v>
      </c>
      <c r="S6" s="6" t="s">
        <v>94</v>
      </c>
      <c r="T6" s="6" t="s">
        <v>95</v>
      </c>
      <c r="U6" s="6" t="s">
        <v>54</v>
      </c>
      <c r="V6" s="6" t="s">
        <v>96</v>
      </c>
      <c r="W6" s="6" t="s">
        <v>56</v>
      </c>
      <c r="X6" s="6"/>
      <c r="Y6" s="6"/>
    </row>
    <row r="7" customFormat="false" ht="169.4" hidden="false" customHeight="false" outlineLevel="0" collapsed="false">
      <c r="A7" s="6" t="n">
        <v>6</v>
      </c>
      <c r="B7" s="7" t="b">
        <f aca="false">TRUE()</f>
        <v>1</v>
      </c>
      <c r="C7" s="8"/>
      <c r="D7" s="8"/>
      <c r="E7" s="8"/>
      <c r="F7" s="6" t="s">
        <v>97</v>
      </c>
      <c r="G7" s="6" t="s">
        <v>98</v>
      </c>
      <c r="H7" s="6" t="s">
        <v>99</v>
      </c>
      <c r="I7" s="6" t="s">
        <v>100</v>
      </c>
      <c r="J7" s="7" t="b">
        <f aca="false">TRUE()</f>
        <v>1</v>
      </c>
      <c r="K7" s="7" t="b">
        <f aca="false">FALSE()</f>
        <v>0</v>
      </c>
      <c r="L7" s="6"/>
      <c r="M7" s="6" t="s">
        <v>83</v>
      </c>
      <c r="N7" s="6" t="s">
        <v>84</v>
      </c>
      <c r="O7" s="6" t="s">
        <v>101</v>
      </c>
      <c r="P7" s="6" t="n">
        <v>4</v>
      </c>
      <c r="Q7" s="6" t="n">
        <v>4</v>
      </c>
      <c r="R7" s="6" t="s">
        <v>102</v>
      </c>
      <c r="S7" s="6" t="s">
        <v>103</v>
      </c>
      <c r="T7" s="6" t="s">
        <v>104</v>
      </c>
      <c r="U7" s="6" t="s">
        <v>54</v>
      </c>
      <c r="V7" s="6" t="s">
        <v>105</v>
      </c>
      <c r="W7" s="6" t="s">
        <v>56</v>
      </c>
      <c r="X7" s="6"/>
      <c r="Y7" s="6"/>
    </row>
    <row r="8" customFormat="false" ht="102.2" hidden="false" customHeight="false" outlineLevel="0" collapsed="false">
      <c r="A8" s="6" t="n">
        <v>7</v>
      </c>
      <c r="B8" s="7" t="b">
        <f aca="false">TRUE()</f>
        <v>1</v>
      </c>
      <c r="C8" s="8"/>
      <c r="D8" s="8"/>
      <c r="E8" s="8"/>
      <c r="F8" s="6" t="s">
        <v>106</v>
      </c>
      <c r="G8" s="6" t="s">
        <v>107</v>
      </c>
      <c r="H8" s="6" t="s">
        <v>108</v>
      </c>
      <c r="I8" s="6" t="s">
        <v>109</v>
      </c>
      <c r="J8" s="7" t="b">
        <f aca="false">TRUE()</f>
        <v>1</v>
      </c>
      <c r="K8" s="7" t="b">
        <f aca="false">FALSE()</f>
        <v>0</v>
      </c>
      <c r="L8" s="6"/>
      <c r="M8" s="6" t="s">
        <v>48</v>
      </c>
      <c r="N8" s="6" t="s">
        <v>49</v>
      </c>
      <c r="O8" s="6" t="s">
        <v>110</v>
      </c>
      <c r="P8" s="6" t="n">
        <v>5</v>
      </c>
      <c r="Q8" s="6" t="n">
        <v>4</v>
      </c>
      <c r="R8" s="6" t="s">
        <v>111</v>
      </c>
      <c r="S8" s="6" t="s">
        <v>112</v>
      </c>
      <c r="T8" s="6" t="s">
        <v>113</v>
      </c>
      <c r="U8" s="6" t="s">
        <v>54</v>
      </c>
      <c r="V8" s="6" t="s">
        <v>114</v>
      </c>
      <c r="W8" s="6" t="s">
        <v>56</v>
      </c>
      <c r="X8" s="6"/>
      <c r="Y8" s="6"/>
    </row>
    <row r="9" customFormat="false" ht="113.4" hidden="false" customHeight="false" outlineLevel="0" collapsed="false">
      <c r="A9" s="6" t="n">
        <v>8</v>
      </c>
      <c r="B9" s="7" t="b">
        <f aca="false">TRUE()</f>
        <v>1</v>
      </c>
      <c r="C9" s="8"/>
      <c r="D9" s="8"/>
      <c r="E9" s="8"/>
      <c r="F9" s="6" t="s">
        <v>115</v>
      </c>
      <c r="G9" s="6" t="s">
        <v>116</v>
      </c>
      <c r="H9" s="6" t="s">
        <v>117</v>
      </c>
      <c r="I9" s="6" t="s">
        <v>109</v>
      </c>
      <c r="J9" s="7" t="b">
        <f aca="false">TRUE()</f>
        <v>1</v>
      </c>
      <c r="K9" s="7" t="b">
        <f aca="false">FALSE()</f>
        <v>0</v>
      </c>
      <c r="L9" s="6"/>
      <c r="M9" s="6" t="s">
        <v>62</v>
      </c>
      <c r="N9" s="6" t="s">
        <v>63</v>
      </c>
      <c r="O9" s="6" t="s">
        <v>118</v>
      </c>
      <c r="P9" s="6" t="n">
        <v>5</v>
      </c>
      <c r="Q9" s="6" t="n">
        <v>4</v>
      </c>
      <c r="R9" s="6" t="s">
        <v>119</v>
      </c>
      <c r="S9" s="6" t="s">
        <v>120</v>
      </c>
      <c r="T9" s="6" t="s">
        <v>121</v>
      </c>
      <c r="U9" s="6" t="s">
        <v>54</v>
      </c>
      <c r="V9" s="6" t="s">
        <v>122</v>
      </c>
      <c r="W9" s="6" t="s">
        <v>56</v>
      </c>
      <c r="X9" s="6"/>
      <c r="Y9" s="6"/>
    </row>
    <row r="10" customFormat="false" ht="79.85" hidden="false" customHeight="false" outlineLevel="0" collapsed="false">
      <c r="A10" s="6" t="n">
        <v>9</v>
      </c>
      <c r="B10" s="7" t="b">
        <f aca="false">TRUE()</f>
        <v>1</v>
      </c>
      <c r="C10" s="8"/>
      <c r="D10" s="8"/>
      <c r="E10" s="8"/>
      <c r="F10" s="6" t="s">
        <v>123</v>
      </c>
      <c r="G10" s="6" t="s">
        <v>124</v>
      </c>
      <c r="H10" s="6" t="s">
        <v>125</v>
      </c>
      <c r="I10" s="6" t="s">
        <v>126</v>
      </c>
      <c r="J10" s="7" t="b">
        <f aca="false">TRUE()</f>
        <v>1</v>
      </c>
      <c r="K10" s="7" t="b">
        <f aca="false">FALSE()</f>
        <v>0</v>
      </c>
      <c r="L10" s="6"/>
      <c r="M10" s="6" t="s">
        <v>48</v>
      </c>
      <c r="N10" s="6" t="s">
        <v>49</v>
      </c>
      <c r="O10" s="6" t="s">
        <v>101</v>
      </c>
      <c r="P10" s="6" t="n">
        <v>5</v>
      </c>
      <c r="Q10" s="6" t="n">
        <v>4</v>
      </c>
      <c r="R10" s="6" t="s">
        <v>127</v>
      </c>
      <c r="S10" s="6" t="s">
        <v>128</v>
      </c>
      <c r="T10" s="6" t="s">
        <v>129</v>
      </c>
      <c r="U10" s="6" t="s">
        <v>54</v>
      </c>
      <c r="V10" s="6" t="s">
        <v>130</v>
      </c>
      <c r="W10" s="6" t="s">
        <v>56</v>
      </c>
      <c r="X10" s="6"/>
      <c r="Y10" s="6"/>
    </row>
    <row r="11" customFormat="false" ht="102.2" hidden="false" customHeight="false" outlineLevel="0" collapsed="false">
      <c r="A11" s="6" t="n">
        <v>10</v>
      </c>
      <c r="B11" s="7" t="b">
        <f aca="false">TRUE()</f>
        <v>1</v>
      </c>
      <c r="C11" s="8"/>
      <c r="D11" s="8"/>
      <c r="E11" s="8"/>
      <c r="F11" s="6" t="s">
        <v>131</v>
      </c>
      <c r="G11" s="6" t="s">
        <v>132</v>
      </c>
      <c r="H11" s="6" t="s">
        <v>133</v>
      </c>
      <c r="I11" s="6" t="s">
        <v>126</v>
      </c>
      <c r="J11" s="7" t="b">
        <f aca="false">TRUE()</f>
        <v>1</v>
      </c>
      <c r="K11" s="7" t="b">
        <f aca="false">FALSE()</f>
        <v>0</v>
      </c>
      <c r="L11" s="6"/>
      <c r="M11" s="6" t="s">
        <v>73</v>
      </c>
      <c r="N11" s="6" t="s">
        <v>49</v>
      </c>
      <c r="O11" s="6" t="s">
        <v>101</v>
      </c>
      <c r="P11" s="6" t="n">
        <v>5</v>
      </c>
      <c r="Q11" s="6" t="n">
        <v>4</v>
      </c>
      <c r="R11" s="6" t="s">
        <v>134</v>
      </c>
      <c r="S11" s="6" t="s">
        <v>135</v>
      </c>
      <c r="T11" s="6" t="s">
        <v>136</v>
      </c>
      <c r="U11" s="6" t="s">
        <v>54</v>
      </c>
      <c r="V11" s="6" t="s">
        <v>137</v>
      </c>
      <c r="W11" s="6" t="s">
        <v>56</v>
      </c>
      <c r="X11" s="6"/>
      <c r="Y11" s="6"/>
    </row>
    <row r="12" customFormat="false" ht="79.85" hidden="false" customHeight="false" outlineLevel="0" collapsed="false">
      <c r="A12" s="6" t="n">
        <v>11</v>
      </c>
      <c r="B12" s="7" t="b">
        <f aca="false">TRUE()</f>
        <v>1</v>
      </c>
      <c r="C12" s="8"/>
      <c r="D12" s="8"/>
      <c r="E12" s="8"/>
      <c r="F12" s="6" t="s">
        <v>138</v>
      </c>
      <c r="G12" s="6" t="s">
        <v>139</v>
      </c>
      <c r="H12" s="6" t="s">
        <v>140</v>
      </c>
      <c r="I12" s="6" t="s">
        <v>141</v>
      </c>
      <c r="J12" s="7" t="b">
        <f aca="false">TRUE()</f>
        <v>1</v>
      </c>
      <c r="K12" s="7" t="b">
        <f aca="false">TRUE()</f>
        <v>1</v>
      </c>
      <c r="L12" s="6"/>
      <c r="M12" s="6" t="s">
        <v>48</v>
      </c>
      <c r="N12" s="6" t="s">
        <v>49</v>
      </c>
      <c r="O12" s="6" t="s">
        <v>50</v>
      </c>
      <c r="P12" s="6" t="n">
        <v>5</v>
      </c>
      <c r="Q12" s="6" t="n">
        <v>4</v>
      </c>
      <c r="R12" s="6" t="s">
        <v>142</v>
      </c>
      <c r="S12" s="6" t="s">
        <v>143</v>
      </c>
      <c r="T12" s="6" t="s">
        <v>144</v>
      </c>
      <c r="U12" s="6" t="s">
        <v>54</v>
      </c>
      <c r="V12" s="6" t="s">
        <v>145</v>
      </c>
      <c r="W12" s="6" t="s">
        <v>56</v>
      </c>
      <c r="X12" s="6"/>
      <c r="Y12" s="6"/>
    </row>
    <row r="13" customFormat="false" ht="91" hidden="false" customHeight="false" outlineLevel="0" collapsed="false">
      <c r="A13" s="6" t="n">
        <v>12</v>
      </c>
      <c r="B13" s="7" t="b">
        <f aca="false">TRUE()</f>
        <v>1</v>
      </c>
      <c r="C13" s="8"/>
      <c r="D13" s="8"/>
      <c r="E13" s="8"/>
      <c r="F13" s="6" t="s">
        <v>146</v>
      </c>
      <c r="G13" s="6" t="s">
        <v>147</v>
      </c>
      <c r="H13" s="6" t="s">
        <v>148</v>
      </c>
      <c r="I13" s="6" t="s">
        <v>149</v>
      </c>
      <c r="J13" s="7" t="b">
        <f aca="false">TRUE()</f>
        <v>1</v>
      </c>
      <c r="K13" s="7" t="b">
        <f aca="false">FALSE()</f>
        <v>0</v>
      </c>
      <c r="L13" s="6"/>
      <c r="M13" s="6" t="s">
        <v>73</v>
      </c>
      <c r="N13" s="6" t="s">
        <v>49</v>
      </c>
      <c r="O13" s="6" t="s">
        <v>150</v>
      </c>
      <c r="P13" s="6" t="n">
        <v>5</v>
      </c>
      <c r="Q13" s="6" t="n">
        <v>4</v>
      </c>
      <c r="R13" s="6" t="s">
        <v>151</v>
      </c>
      <c r="S13" s="6" t="s">
        <v>152</v>
      </c>
      <c r="T13" s="6" t="s">
        <v>153</v>
      </c>
      <c r="U13" s="6" t="s">
        <v>54</v>
      </c>
      <c r="V13" s="6" t="s">
        <v>154</v>
      </c>
      <c r="W13" s="6" t="s">
        <v>56</v>
      </c>
      <c r="X13" s="6"/>
      <c r="Y13" s="6"/>
    </row>
    <row r="14" customFormat="false" ht="79.85" hidden="false" customHeight="false" outlineLevel="0" collapsed="false">
      <c r="A14" s="6" t="n">
        <v>13</v>
      </c>
      <c r="B14" s="7" t="b">
        <f aca="false">TRUE()</f>
        <v>1</v>
      </c>
      <c r="C14" s="8"/>
      <c r="D14" s="8"/>
      <c r="E14" s="8"/>
      <c r="F14" s="6" t="s">
        <v>155</v>
      </c>
      <c r="G14" s="6" t="s">
        <v>156</v>
      </c>
      <c r="H14" s="6" t="s">
        <v>157</v>
      </c>
      <c r="I14" s="6" t="s">
        <v>158</v>
      </c>
      <c r="J14" s="7" t="b">
        <f aca="false">TRUE()</f>
        <v>1</v>
      </c>
      <c r="K14" s="7" t="b">
        <f aca="false">TRUE()</f>
        <v>1</v>
      </c>
      <c r="L14" s="6"/>
      <c r="M14" s="6" t="s">
        <v>48</v>
      </c>
      <c r="N14" s="6" t="s">
        <v>49</v>
      </c>
      <c r="O14" s="6" t="s">
        <v>159</v>
      </c>
      <c r="P14" s="6" t="n">
        <v>4</v>
      </c>
      <c r="Q14" s="6" t="n">
        <v>4</v>
      </c>
      <c r="R14" s="6" t="s">
        <v>160</v>
      </c>
      <c r="S14" s="6" t="s">
        <v>161</v>
      </c>
      <c r="T14" s="6" t="s">
        <v>162</v>
      </c>
      <c r="U14" s="6" t="s">
        <v>163</v>
      </c>
      <c r="V14" s="6" t="s">
        <v>164</v>
      </c>
      <c r="W14" s="6" t="s">
        <v>56</v>
      </c>
      <c r="X14" s="6"/>
      <c r="Y14" s="6"/>
    </row>
    <row r="15" customFormat="false" ht="68.65" hidden="false" customHeight="false" outlineLevel="0" collapsed="false">
      <c r="A15" s="6" t="n">
        <v>14</v>
      </c>
      <c r="B15" s="7" t="b">
        <f aca="false">TRUE()</f>
        <v>1</v>
      </c>
      <c r="C15" s="8"/>
      <c r="D15" s="8"/>
      <c r="E15" s="8"/>
      <c r="F15" s="6" t="s">
        <v>165</v>
      </c>
      <c r="G15" s="6" t="s">
        <v>166</v>
      </c>
      <c r="H15" s="6" t="s">
        <v>167</v>
      </c>
      <c r="I15" s="6" t="s">
        <v>168</v>
      </c>
      <c r="J15" s="7" t="b">
        <f aca="false">TRUE()</f>
        <v>1</v>
      </c>
      <c r="K15" s="7" t="b">
        <f aca="false">FALSE()</f>
        <v>0</v>
      </c>
      <c r="L15" s="6"/>
      <c r="M15" s="6" t="s">
        <v>48</v>
      </c>
      <c r="N15" s="6" t="s">
        <v>49</v>
      </c>
      <c r="O15" s="6" t="s">
        <v>150</v>
      </c>
      <c r="P15" s="6" t="n">
        <v>5</v>
      </c>
      <c r="Q15" s="6" t="n">
        <v>4</v>
      </c>
      <c r="R15" s="6" t="s">
        <v>169</v>
      </c>
      <c r="S15" s="6" t="s">
        <v>170</v>
      </c>
      <c r="T15" s="6" t="s">
        <v>171</v>
      </c>
      <c r="U15" s="6" t="s">
        <v>172</v>
      </c>
      <c r="V15" s="6" t="s">
        <v>173</v>
      </c>
      <c r="W15" s="6" t="s">
        <v>56</v>
      </c>
      <c r="X15" s="6"/>
      <c r="Y15" s="6"/>
    </row>
    <row r="16" customFormat="false" ht="91" hidden="false" customHeight="false" outlineLevel="0" collapsed="false">
      <c r="A16" s="6" t="n">
        <v>15</v>
      </c>
      <c r="B16" s="7" t="b">
        <f aca="false">TRUE()</f>
        <v>1</v>
      </c>
      <c r="C16" s="8"/>
      <c r="D16" s="8"/>
      <c r="E16" s="8"/>
      <c r="F16" s="6" t="s">
        <v>174</v>
      </c>
      <c r="G16" s="6" t="s">
        <v>175</v>
      </c>
      <c r="H16" s="6" t="s">
        <v>176</v>
      </c>
      <c r="I16" s="6" t="s">
        <v>168</v>
      </c>
      <c r="J16" s="7" t="b">
        <f aca="false">TRUE()</f>
        <v>1</v>
      </c>
      <c r="K16" s="7" t="b">
        <f aca="false">FALSE()</f>
        <v>0</v>
      </c>
      <c r="L16" s="6"/>
      <c r="M16" s="6" t="s">
        <v>48</v>
      </c>
      <c r="N16" s="6" t="s">
        <v>49</v>
      </c>
      <c r="O16" s="6" t="s">
        <v>74</v>
      </c>
      <c r="P16" s="6" t="n">
        <v>4</v>
      </c>
      <c r="Q16" s="6" t="n">
        <v>4</v>
      </c>
      <c r="R16" s="6" t="s">
        <v>177</v>
      </c>
      <c r="S16" s="6" t="s">
        <v>178</v>
      </c>
      <c r="T16" s="6" t="s">
        <v>179</v>
      </c>
      <c r="U16" s="6" t="s">
        <v>172</v>
      </c>
      <c r="V16" s="6" t="s">
        <v>180</v>
      </c>
      <c r="W16" s="6" t="s">
        <v>56</v>
      </c>
      <c r="X16" s="6"/>
      <c r="Y16" s="6"/>
    </row>
    <row r="17" customFormat="false" ht="91" hidden="false" customHeight="false" outlineLevel="0" collapsed="false">
      <c r="A17" s="6" t="n">
        <v>16</v>
      </c>
      <c r="B17" s="7" t="b">
        <f aca="false">TRUE()</f>
        <v>1</v>
      </c>
      <c r="C17" s="8"/>
      <c r="D17" s="8"/>
      <c r="E17" s="8"/>
      <c r="F17" s="6" t="s">
        <v>181</v>
      </c>
      <c r="G17" s="6" t="s">
        <v>182</v>
      </c>
      <c r="H17" s="6" t="s">
        <v>183</v>
      </c>
      <c r="I17" s="6" t="s">
        <v>184</v>
      </c>
      <c r="J17" s="7" t="b">
        <f aca="false">FALSE()</f>
        <v>0</v>
      </c>
      <c r="K17" s="7" t="b">
        <f aca="false">FALSE()</f>
        <v>0</v>
      </c>
      <c r="L17" s="6" t="s">
        <v>185</v>
      </c>
      <c r="M17" s="6" t="s">
        <v>73</v>
      </c>
      <c r="N17" s="6" t="s">
        <v>63</v>
      </c>
      <c r="O17" s="6" t="s">
        <v>101</v>
      </c>
      <c r="P17" s="6" t="n">
        <v>5</v>
      </c>
      <c r="Q17" s="6" t="n">
        <v>2</v>
      </c>
      <c r="R17" s="6" t="s">
        <v>186</v>
      </c>
      <c r="S17" s="6" t="s">
        <v>187</v>
      </c>
      <c r="T17" s="6" t="s">
        <v>188</v>
      </c>
      <c r="U17" s="6" t="s">
        <v>54</v>
      </c>
      <c r="V17" s="6" t="s">
        <v>189</v>
      </c>
      <c r="W17" s="6" t="s">
        <v>190</v>
      </c>
      <c r="X17" s="6" t="s">
        <v>191</v>
      </c>
      <c r="Y17" s="6" t="s">
        <v>192</v>
      </c>
    </row>
    <row r="18" customFormat="false" ht="91" hidden="false" customHeight="false" outlineLevel="0" collapsed="false">
      <c r="A18" s="6" t="n">
        <v>17</v>
      </c>
      <c r="B18" s="7" t="b">
        <f aca="false">TRUE()</f>
        <v>1</v>
      </c>
      <c r="C18" s="8"/>
      <c r="D18" s="8"/>
      <c r="E18" s="8"/>
      <c r="F18" s="6" t="s">
        <v>193</v>
      </c>
      <c r="G18" s="6" t="s">
        <v>194</v>
      </c>
      <c r="H18" s="6" t="s">
        <v>195</v>
      </c>
      <c r="I18" s="6" t="s">
        <v>196</v>
      </c>
      <c r="J18" s="7" t="b">
        <f aca="false">FALSE()</f>
        <v>0</v>
      </c>
      <c r="K18" s="7" t="b">
        <f aca="false">FALSE()</f>
        <v>0</v>
      </c>
      <c r="L18" s="6" t="s">
        <v>197</v>
      </c>
      <c r="M18" s="6" t="s">
        <v>62</v>
      </c>
      <c r="N18" s="6" t="s">
        <v>63</v>
      </c>
      <c r="O18" s="6" t="s">
        <v>198</v>
      </c>
      <c r="P18" s="6" t="n">
        <v>5</v>
      </c>
      <c r="Q18" s="6" t="n">
        <v>2</v>
      </c>
      <c r="R18" s="6" t="s">
        <v>199</v>
      </c>
      <c r="S18" s="6" t="s">
        <v>200</v>
      </c>
      <c r="T18" s="6" t="s">
        <v>201</v>
      </c>
      <c r="U18" s="6" t="s">
        <v>54</v>
      </c>
      <c r="V18" s="6" t="s">
        <v>202</v>
      </c>
      <c r="W18" s="6" t="s">
        <v>190</v>
      </c>
      <c r="X18" s="6" t="s">
        <v>191</v>
      </c>
      <c r="Y18" s="6" t="s">
        <v>192</v>
      </c>
    </row>
    <row r="19" customFormat="false" ht="91" hidden="false" customHeight="false" outlineLevel="0" collapsed="false">
      <c r="A19" s="6" t="n">
        <v>18</v>
      </c>
      <c r="B19" s="7" t="b">
        <f aca="false">TRUE()</f>
        <v>1</v>
      </c>
      <c r="C19" s="8"/>
      <c r="D19" s="8"/>
      <c r="E19" s="8"/>
      <c r="F19" s="6" t="s">
        <v>203</v>
      </c>
      <c r="G19" s="6" t="s">
        <v>204</v>
      </c>
      <c r="H19" s="6" t="s">
        <v>205</v>
      </c>
      <c r="I19" s="6" t="s">
        <v>206</v>
      </c>
      <c r="J19" s="7" t="b">
        <f aca="false">FALSE()</f>
        <v>0</v>
      </c>
      <c r="K19" s="7" t="b">
        <f aca="false">FALSE()</f>
        <v>0</v>
      </c>
      <c r="L19" s="6" t="s">
        <v>185</v>
      </c>
      <c r="M19" s="6" t="s">
        <v>62</v>
      </c>
      <c r="N19" s="6" t="s">
        <v>63</v>
      </c>
      <c r="O19" s="6" t="s">
        <v>207</v>
      </c>
      <c r="P19" s="6" t="n">
        <v>5</v>
      </c>
      <c r="Q19" s="6" t="n">
        <v>2</v>
      </c>
      <c r="R19" s="6" t="s">
        <v>208</v>
      </c>
      <c r="S19" s="6" t="s">
        <v>209</v>
      </c>
      <c r="T19" s="6" t="s">
        <v>210</v>
      </c>
      <c r="U19" s="6" t="s">
        <v>54</v>
      </c>
      <c r="V19" s="6" t="s">
        <v>211</v>
      </c>
      <c r="W19" s="6" t="s">
        <v>190</v>
      </c>
      <c r="X19" s="6" t="s">
        <v>191</v>
      </c>
      <c r="Y19" s="6" t="s">
        <v>192</v>
      </c>
    </row>
    <row r="20" customFormat="false" ht="91" hidden="false" customHeight="false" outlineLevel="0" collapsed="false">
      <c r="A20" s="6" t="n">
        <v>19</v>
      </c>
      <c r="B20" s="7" t="b">
        <f aca="false">TRUE()</f>
        <v>1</v>
      </c>
      <c r="C20" s="8"/>
      <c r="D20" s="8"/>
      <c r="E20" s="8"/>
      <c r="F20" s="6" t="s">
        <v>212</v>
      </c>
      <c r="G20" s="6" t="s">
        <v>213</v>
      </c>
      <c r="H20" s="6" t="s">
        <v>214</v>
      </c>
      <c r="I20" s="6" t="s">
        <v>215</v>
      </c>
      <c r="J20" s="7" t="b">
        <f aca="false">FALSE()</f>
        <v>0</v>
      </c>
      <c r="K20" s="7" t="b">
        <f aca="false">FALSE()</f>
        <v>0</v>
      </c>
      <c r="L20" s="6" t="s">
        <v>185</v>
      </c>
      <c r="M20" s="6" t="s">
        <v>73</v>
      </c>
      <c r="N20" s="6" t="s">
        <v>49</v>
      </c>
      <c r="O20" s="6" t="s">
        <v>198</v>
      </c>
      <c r="P20" s="6" t="n">
        <v>5</v>
      </c>
      <c r="Q20" s="6" t="n">
        <v>2</v>
      </c>
      <c r="R20" s="6" t="s">
        <v>216</v>
      </c>
      <c r="S20" s="6" t="s">
        <v>217</v>
      </c>
      <c r="T20" s="6" t="s">
        <v>218</v>
      </c>
      <c r="U20" s="6" t="s">
        <v>54</v>
      </c>
      <c r="V20" s="6" t="s">
        <v>219</v>
      </c>
      <c r="W20" s="6" t="s">
        <v>190</v>
      </c>
      <c r="X20" s="6" t="s">
        <v>191</v>
      </c>
      <c r="Y20" s="6" t="s">
        <v>192</v>
      </c>
    </row>
    <row r="21" customFormat="false" ht="79.85" hidden="false" customHeight="false" outlineLevel="0" collapsed="false">
      <c r="A21" s="6" t="n">
        <v>20</v>
      </c>
      <c r="B21" s="7" t="b">
        <f aca="false">TRUE()</f>
        <v>1</v>
      </c>
      <c r="C21" s="8"/>
      <c r="D21" s="8"/>
      <c r="E21" s="8"/>
      <c r="F21" s="6" t="s">
        <v>220</v>
      </c>
      <c r="G21" s="6" t="s">
        <v>221</v>
      </c>
      <c r="H21" s="6" t="s">
        <v>222</v>
      </c>
      <c r="I21" s="6" t="s">
        <v>149</v>
      </c>
      <c r="J21" s="7" t="b">
        <f aca="false">FALSE()</f>
        <v>0</v>
      </c>
      <c r="K21" s="7" t="b">
        <f aca="false">FALSE()</f>
        <v>0</v>
      </c>
      <c r="L21" s="6" t="s">
        <v>185</v>
      </c>
      <c r="M21" s="6" t="s">
        <v>62</v>
      </c>
      <c r="N21" s="6" t="s">
        <v>63</v>
      </c>
      <c r="O21" s="6" t="s">
        <v>198</v>
      </c>
      <c r="P21" s="6" t="n">
        <v>5</v>
      </c>
      <c r="Q21" s="6" t="n">
        <v>2</v>
      </c>
      <c r="R21" s="6" t="s">
        <v>223</v>
      </c>
      <c r="S21" s="6" t="s">
        <v>224</v>
      </c>
      <c r="T21" s="6" t="s">
        <v>225</v>
      </c>
      <c r="U21" s="6" t="s">
        <v>54</v>
      </c>
      <c r="V21" s="6" t="s">
        <v>226</v>
      </c>
      <c r="W21" s="6" t="s">
        <v>190</v>
      </c>
      <c r="X21" s="6" t="s">
        <v>191</v>
      </c>
      <c r="Y21" s="6" t="s">
        <v>192</v>
      </c>
    </row>
    <row r="22" customFormat="false" ht="102.2" hidden="false" customHeight="false" outlineLevel="0" collapsed="false">
      <c r="A22" s="6" t="n">
        <v>21</v>
      </c>
      <c r="B22" s="7" t="b">
        <f aca="false">FALSE()</f>
        <v>0</v>
      </c>
      <c r="C22" s="8"/>
      <c r="D22" s="8"/>
      <c r="E22" s="8"/>
      <c r="F22" s="6" t="s">
        <v>227</v>
      </c>
      <c r="G22" s="6" t="s">
        <v>228</v>
      </c>
      <c r="H22" s="6" t="s">
        <v>229</v>
      </c>
      <c r="I22" s="6" t="s">
        <v>230</v>
      </c>
      <c r="J22" s="7" t="b">
        <f aca="false">TRUE()</f>
        <v>1</v>
      </c>
      <c r="K22" s="7" t="b">
        <f aca="false">FALSE()</f>
        <v>0</v>
      </c>
      <c r="L22" s="6"/>
      <c r="M22" s="6" t="s">
        <v>83</v>
      </c>
      <c r="N22" s="6" t="s">
        <v>84</v>
      </c>
      <c r="O22" s="6" t="s">
        <v>50</v>
      </c>
      <c r="P22" s="6" t="n">
        <v>4</v>
      </c>
      <c r="Q22" s="6" t="n">
        <v>3</v>
      </c>
      <c r="R22" s="6" t="s">
        <v>231</v>
      </c>
      <c r="S22" s="6" t="s">
        <v>232</v>
      </c>
      <c r="T22" s="6" t="s">
        <v>233</v>
      </c>
      <c r="U22" s="6" t="s">
        <v>54</v>
      </c>
      <c r="V22" s="6" t="s">
        <v>234</v>
      </c>
      <c r="W22" s="6" t="s">
        <v>56</v>
      </c>
      <c r="X22" s="6"/>
      <c r="Y22" s="6" t="s">
        <v>57</v>
      </c>
    </row>
    <row r="23" customFormat="false" ht="102.2" hidden="false" customHeight="false" outlineLevel="0" collapsed="false">
      <c r="A23" s="6" t="n">
        <v>22</v>
      </c>
      <c r="B23" s="7" t="b">
        <f aca="false">FALSE()</f>
        <v>0</v>
      </c>
      <c r="C23" s="8"/>
      <c r="D23" s="8"/>
      <c r="E23" s="8"/>
      <c r="F23" s="6" t="s">
        <v>235</v>
      </c>
      <c r="G23" s="6" t="s">
        <v>236</v>
      </c>
      <c r="H23" s="6" t="s">
        <v>237</v>
      </c>
      <c r="I23" s="6" t="s">
        <v>230</v>
      </c>
      <c r="J23" s="7" t="b">
        <f aca="false">TRUE()</f>
        <v>1</v>
      </c>
      <c r="K23" s="7" t="b">
        <f aca="false">FALSE()</f>
        <v>0</v>
      </c>
      <c r="L23" s="6"/>
      <c r="M23" s="6" t="s">
        <v>48</v>
      </c>
      <c r="N23" s="6" t="s">
        <v>49</v>
      </c>
      <c r="O23" s="6" t="s">
        <v>50</v>
      </c>
      <c r="P23" s="6" t="n">
        <v>5</v>
      </c>
      <c r="Q23" s="6" t="n">
        <v>3</v>
      </c>
      <c r="R23" s="6" t="s">
        <v>238</v>
      </c>
      <c r="S23" s="6" t="s">
        <v>239</v>
      </c>
      <c r="T23" s="6" t="s">
        <v>240</v>
      </c>
      <c r="U23" s="6" t="s">
        <v>54</v>
      </c>
      <c r="V23" s="6" t="s">
        <v>241</v>
      </c>
      <c r="W23" s="6" t="s">
        <v>56</v>
      </c>
      <c r="X23" s="6"/>
      <c r="Y23" s="6" t="s">
        <v>57</v>
      </c>
    </row>
    <row r="24" customFormat="false" ht="102.2" hidden="false" customHeight="false" outlineLevel="0" collapsed="false">
      <c r="A24" s="6" t="n">
        <v>23</v>
      </c>
      <c r="B24" s="7" t="b">
        <f aca="false">FALSE()</f>
        <v>0</v>
      </c>
      <c r="C24" s="8"/>
      <c r="D24" s="8"/>
      <c r="E24" s="8"/>
      <c r="F24" s="6" t="s">
        <v>242</v>
      </c>
      <c r="G24" s="6" t="s">
        <v>243</v>
      </c>
      <c r="H24" s="6" t="s">
        <v>244</v>
      </c>
      <c r="I24" s="6" t="s">
        <v>230</v>
      </c>
      <c r="J24" s="7" t="b">
        <f aca="false">TRUE()</f>
        <v>1</v>
      </c>
      <c r="K24" s="7" t="b">
        <f aca="false">FALSE()</f>
        <v>0</v>
      </c>
      <c r="L24" s="6"/>
      <c r="M24" s="6" t="s">
        <v>48</v>
      </c>
      <c r="N24" s="6" t="s">
        <v>49</v>
      </c>
      <c r="O24" s="6" t="s">
        <v>50</v>
      </c>
      <c r="P24" s="6" t="n">
        <v>5</v>
      </c>
      <c r="Q24" s="6" t="n">
        <v>3</v>
      </c>
      <c r="R24" s="6" t="s">
        <v>245</v>
      </c>
      <c r="S24" s="6" t="s">
        <v>246</v>
      </c>
      <c r="T24" s="6" t="s">
        <v>247</v>
      </c>
      <c r="U24" s="6" t="s">
        <v>54</v>
      </c>
      <c r="V24" s="6" t="s">
        <v>248</v>
      </c>
      <c r="W24" s="6" t="s">
        <v>56</v>
      </c>
      <c r="X24" s="6"/>
      <c r="Y24" s="6" t="s">
        <v>57</v>
      </c>
    </row>
    <row r="25" customFormat="false" ht="102.2" hidden="false" customHeight="false" outlineLevel="0" collapsed="false">
      <c r="A25" s="6" t="n">
        <v>24</v>
      </c>
      <c r="B25" s="7" t="b">
        <f aca="false">FALSE()</f>
        <v>0</v>
      </c>
      <c r="C25" s="8"/>
      <c r="D25" s="8"/>
      <c r="E25" s="8"/>
      <c r="F25" s="6" t="s">
        <v>249</v>
      </c>
      <c r="G25" s="6" t="s">
        <v>250</v>
      </c>
      <c r="H25" s="6" t="s">
        <v>251</v>
      </c>
      <c r="I25" s="6" t="s">
        <v>230</v>
      </c>
      <c r="J25" s="7" t="b">
        <f aca="false">TRUE()</f>
        <v>1</v>
      </c>
      <c r="K25" s="7" t="b">
        <f aca="false">FALSE()</f>
        <v>0</v>
      </c>
      <c r="L25" s="6"/>
      <c r="M25" s="6" t="s">
        <v>73</v>
      </c>
      <c r="N25" s="6" t="s">
        <v>63</v>
      </c>
      <c r="O25" s="6" t="s">
        <v>198</v>
      </c>
      <c r="P25" s="6" t="n">
        <v>5</v>
      </c>
      <c r="Q25" s="6" t="n">
        <v>3</v>
      </c>
      <c r="R25" s="6" t="s">
        <v>252</v>
      </c>
      <c r="S25" s="6" t="s">
        <v>253</v>
      </c>
      <c r="T25" s="6" t="s">
        <v>254</v>
      </c>
      <c r="U25" s="6" t="s">
        <v>54</v>
      </c>
      <c r="V25" s="6" t="s">
        <v>255</v>
      </c>
      <c r="W25" s="6" t="s">
        <v>56</v>
      </c>
      <c r="X25" s="6"/>
      <c r="Y25" s="6" t="s">
        <v>57</v>
      </c>
    </row>
    <row r="26" customFormat="false" ht="102.2" hidden="false" customHeight="false" outlineLevel="0" collapsed="false">
      <c r="A26" s="6" t="n">
        <v>25</v>
      </c>
      <c r="B26" s="7" t="b">
        <f aca="false">FALSE()</f>
        <v>0</v>
      </c>
      <c r="C26" s="8"/>
      <c r="D26" s="8"/>
      <c r="E26" s="8"/>
      <c r="F26" s="6" t="s">
        <v>256</v>
      </c>
      <c r="G26" s="6" t="s">
        <v>257</v>
      </c>
      <c r="H26" s="6" t="s">
        <v>258</v>
      </c>
      <c r="I26" s="6" t="s">
        <v>206</v>
      </c>
      <c r="J26" s="7" t="b">
        <f aca="false">TRUE()</f>
        <v>1</v>
      </c>
      <c r="K26" s="7" t="b">
        <f aca="false">FALSE()</f>
        <v>0</v>
      </c>
      <c r="L26" s="6"/>
      <c r="M26" s="6" t="s">
        <v>62</v>
      </c>
      <c r="N26" s="6" t="s">
        <v>63</v>
      </c>
      <c r="O26" s="6" t="s">
        <v>74</v>
      </c>
      <c r="P26" s="6" t="n">
        <v>4</v>
      </c>
      <c r="Q26" s="6" t="n">
        <v>3</v>
      </c>
      <c r="R26" s="6" t="s">
        <v>259</v>
      </c>
      <c r="S26" s="6" t="s">
        <v>260</v>
      </c>
      <c r="T26" s="6" t="s">
        <v>261</v>
      </c>
      <c r="U26" s="6" t="s">
        <v>54</v>
      </c>
      <c r="V26" s="6" t="s">
        <v>262</v>
      </c>
      <c r="W26" s="6" t="s">
        <v>56</v>
      </c>
      <c r="X26" s="6"/>
      <c r="Y26" s="6" t="s">
        <v>57</v>
      </c>
    </row>
    <row r="27" customFormat="false" ht="102.2" hidden="false" customHeight="false" outlineLevel="0" collapsed="false">
      <c r="A27" s="6" t="n">
        <v>26</v>
      </c>
      <c r="B27" s="7" t="b">
        <f aca="false">FALSE()</f>
        <v>0</v>
      </c>
      <c r="C27" s="8"/>
      <c r="D27" s="8"/>
      <c r="E27" s="8"/>
      <c r="F27" s="6" t="s">
        <v>263</v>
      </c>
      <c r="G27" s="6" t="s">
        <v>264</v>
      </c>
      <c r="H27" s="6" t="s">
        <v>265</v>
      </c>
      <c r="I27" s="6" t="s">
        <v>206</v>
      </c>
      <c r="J27" s="7" t="b">
        <f aca="false">TRUE()</f>
        <v>1</v>
      </c>
      <c r="K27" s="7" t="b">
        <f aca="false">TRUE()</f>
        <v>1</v>
      </c>
      <c r="L27" s="6"/>
      <c r="M27" s="6" t="s">
        <v>62</v>
      </c>
      <c r="N27" s="6" t="s">
        <v>63</v>
      </c>
      <c r="O27" s="6" t="s">
        <v>266</v>
      </c>
      <c r="P27" s="6" t="n">
        <v>5</v>
      </c>
      <c r="Q27" s="6" t="n">
        <v>3</v>
      </c>
      <c r="R27" s="6" t="s">
        <v>267</v>
      </c>
      <c r="S27" s="6" t="s">
        <v>268</v>
      </c>
      <c r="T27" s="6" t="s">
        <v>269</v>
      </c>
      <c r="U27" s="6" t="s">
        <v>54</v>
      </c>
      <c r="V27" s="6" t="s">
        <v>270</v>
      </c>
      <c r="W27" s="6" t="s">
        <v>56</v>
      </c>
      <c r="X27" s="6"/>
      <c r="Y27" s="6" t="s">
        <v>57</v>
      </c>
    </row>
    <row r="28" customFormat="false" ht="180.55" hidden="false" customHeight="false" outlineLevel="0" collapsed="false">
      <c r="A28" s="6" t="n">
        <v>27</v>
      </c>
      <c r="B28" s="7" t="b">
        <f aca="false">FALSE()</f>
        <v>0</v>
      </c>
      <c r="C28" s="8"/>
      <c r="D28" s="8"/>
      <c r="E28" s="8"/>
      <c r="F28" s="6" t="s">
        <v>271</v>
      </c>
      <c r="G28" s="6" t="s">
        <v>272</v>
      </c>
      <c r="H28" s="6" t="s">
        <v>273</v>
      </c>
      <c r="I28" s="6" t="s">
        <v>274</v>
      </c>
      <c r="J28" s="7" t="b">
        <f aca="false">TRUE()</f>
        <v>1</v>
      </c>
      <c r="K28" s="7" t="b">
        <f aca="false">TRUE()</f>
        <v>1</v>
      </c>
      <c r="L28" s="6"/>
      <c r="M28" s="6" t="s">
        <v>83</v>
      </c>
      <c r="N28" s="6" t="s">
        <v>84</v>
      </c>
      <c r="O28" s="6" t="s">
        <v>74</v>
      </c>
      <c r="P28" s="6" t="n">
        <v>5</v>
      </c>
      <c r="Q28" s="6" t="n">
        <v>4</v>
      </c>
      <c r="R28" s="6" t="s">
        <v>275</v>
      </c>
      <c r="S28" s="6" t="s">
        <v>276</v>
      </c>
      <c r="T28" s="6" t="s">
        <v>277</v>
      </c>
      <c r="U28" s="6" t="s">
        <v>54</v>
      </c>
      <c r="V28" s="6" t="s">
        <v>278</v>
      </c>
      <c r="W28" s="6" t="s">
        <v>56</v>
      </c>
      <c r="X28" s="6"/>
      <c r="Y28" s="6" t="s">
        <v>57</v>
      </c>
    </row>
    <row r="29" customFormat="false" ht="102.2" hidden="false" customHeight="false" outlineLevel="0" collapsed="false">
      <c r="A29" s="6" t="n">
        <v>28</v>
      </c>
      <c r="B29" s="7" t="b">
        <f aca="false">FALSE()</f>
        <v>0</v>
      </c>
      <c r="C29" s="8"/>
      <c r="D29" s="8"/>
      <c r="E29" s="8"/>
      <c r="F29" s="6" t="s">
        <v>279</v>
      </c>
      <c r="G29" s="6" t="s">
        <v>280</v>
      </c>
      <c r="H29" s="6" t="s">
        <v>281</v>
      </c>
      <c r="I29" s="6" t="s">
        <v>206</v>
      </c>
      <c r="J29" s="7" t="b">
        <f aca="false">TRUE()</f>
        <v>1</v>
      </c>
      <c r="K29" s="7" t="b">
        <f aca="false">FALSE()</f>
        <v>0</v>
      </c>
      <c r="L29" s="6"/>
      <c r="M29" s="6" t="s">
        <v>62</v>
      </c>
      <c r="N29" s="6" t="s">
        <v>63</v>
      </c>
      <c r="O29" s="6" t="s">
        <v>266</v>
      </c>
      <c r="P29" s="6" t="n">
        <v>4</v>
      </c>
      <c r="Q29" s="6" t="n">
        <v>3</v>
      </c>
      <c r="R29" s="6" t="s">
        <v>282</v>
      </c>
      <c r="S29" s="6" t="s">
        <v>283</v>
      </c>
      <c r="T29" s="6" t="s">
        <v>284</v>
      </c>
      <c r="U29" s="6" t="s">
        <v>54</v>
      </c>
      <c r="V29" s="6" t="s">
        <v>285</v>
      </c>
      <c r="W29" s="6" t="s">
        <v>56</v>
      </c>
      <c r="X29" s="6"/>
      <c r="Y29" s="6" t="s">
        <v>57</v>
      </c>
    </row>
    <row r="30" customFormat="false" ht="102.2" hidden="false" customHeight="false" outlineLevel="0" collapsed="false">
      <c r="A30" s="6" t="n">
        <v>29</v>
      </c>
      <c r="B30" s="7" t="b">
        <f aca="false">FALSE()</f>
        <v>0</v>
      </c>
      <c r="C30" s="8"/>
      <c r="D30" s="8"/>
      <c r="E30" s="8"/>
      <c r="F30" s="6" t="s">
        <v>286</v>
      </c>
      <c r="G30" s="6" t="s">
        <v>287</v>
      </c>
      <c r="H30" s="6" t="s">
        <v>288</v>
      </c>
      <c r="I30" s="6" t="s">
        <v>289</v>
      </c>
      <c r="J30" s="7" t="b">
        <f aca="false">TRUE()</f>
        <v>1</v>
      </c>
      <c r="K30" s="7" t="b">
        <f aca="false">TRUE()</f>
        <v>1</v>
      </c>
      <c r="L30" s="6"/>
      <c r="M30" s="6" t="s">
        <v>73</v>
      </c>
      <c r="N30" s="6" t="s">
        <v>49</v>
      </c>
      <c r="O30" s="6" t="s">
        <v>50</v>
      </c>
      <c r="P30" s="6" t="n">
        <v>5</v>
      </c>
      <c r="Q30" s="6" t="n">
        <v>3</v>
      </c>
      <c r="R30" s="6" t="s">
        <v>290</v>
      </c>
      <c r="S30" s="6" t="s">
        <v>291</v>
      </c>
      <c r="T30" s="6" t="s">
        <v>292</v>
      </c>
      <c r="U30" s="6" t="s">
        <v>54</v>
      </c>
      <c r="V30" s="6" t="s">
        <v>293</v>
      </c>
      <c r="W30" s="6" t="s">
        <v>56</v>
      </c>
      <c r="X30" s="6"/>
      <c r="Y30" s="6" t="s">
        <v>57</v>
      </c>
    </row>
    <row r="31" customFormat="false" ht="113.4" hidden="false" customHeight="false" outlineLevel="0" collapsed="false">
      <c r="A31" s="6" t="n">
        <v>30</v>
      </c>
      <c r="B31" s="7" t="b">
        <f aca="false">FALSE()</f>
        <v>0</v>
      </c>
      <c r="C31" s="8"/>
      <c r="D31" s="8"/>
      <c r="E31" s="8"/>
      <c r="F31" s="6" t="s">
        <v>294</v>
      </c>
      <c r="G31" s="6" t="s">
        <v>295</v>
      </c>
      <c r="H31" s="6" t="s">
        <v>296</v>
      </c>
      <c r="I31" s="6" t="s">
        <v>297</v>
      </c>
      <c r="J31" s="7" t="b">
        <f aca="false">TRUE()</f>
        <v>1</v>
      </c>
      <c r="K31" s="7" t="b">
        <f aca="false">FALSE()</f>
        <v>0</v>
      </c>
      <c r="L31" s="6"/>
      <c r="M31" s="6" t="s">
        <v>83</v>
      </c>
      <c r="N31" s="6" t="s">
        <v>84</v>
      </c>
      <c r="O31" s="6" t="s">
        <v>50</v>
      </c>
      <c r="P31" s="6" t="n">
        <v>4</v>
      </c>
      <c r="Q31" s="6" t="n">
        <v>4</v>
      </c>
      <c r="R31" s="6" t="s">
        <v>298</v>
      </c>
      <c r="S31" s="6" t="s">
        <v>299</v>
      </c>
      <c r="T31" s="6" t="s">
        <v>300</v>
      </c>
      <c r="U31" s="6" t="s">
        <v>54</v>
      </c>
      <c r="V31" s="6" t="s">
        <v>301</v>
      </c>
      <c r="W31" s="6" t="s">
        <v>56</v>
      </c>
      <c r="X31" s="6"/>
      <c r="Y31" s="6" t="s">
        <v>57</v>
      </c>
    </row>
    <row r="32" customFormat="false" ht="102.2" hidden="false" customHeight="false" outlineLevel="0" collapsed="false">
      <c r="A32" s="6" t="n">
        <v>31</v>
      </c>
      <c r="B32" s="7" t="b">
        <f aca="false">FALSE()</f>
        <v>0</v>
      </c>
      <c r="C32" s="8"/>
      <c r="D32" s="8"/>
      <c r="E32" s="8"/>
      <c r="F32" s="6" t="s">
        <v>302</v>
      </c>
      <c r="G32" s="6" t="s">
        <v>303</v>
      </c>
      <c r="H32" s="6" t="s">
        <v>304</v>
      </c>
      <c r="I32" s="6" t="s">
        <v>47</v>
      </c>
      <c r="J32" s="7" t="b">
        <f aca="false">TRUE()</f>
        <v>1</v>
      </c>
      <c r="K32" s="7" t="b">
        <f aca="false">TRUE()</f>
        <v>1</v>
      </c>
      <c r="L32" s="6"/>
      <c r="M32" s="6" t="s">
        <v>73</v>
      </c>
      <c r="N32" s="6" t="s">
        <v>49</v>
      </c>
      <c r="O32" s="6" t="s">
        <v>50</v>
      </c>
      <c r="P32" s="6" t="n">
        <v>5</v>
      </c>
      <c r="Q32" s="6" t="n">
        <v>3</v>
      </c>
      <c r="R32" s="6" t="s">
        <v>305</v>
      </c>
      <c r="S32" s="6" t="s">
        <v>306</v>
      </c>
      <c r="T32" s="6" t="s">
        <v>307</v>
      </c>
      <c r="U32" s="6" t="s">
        <v>54</v>
      </c>
      <c r="V32" s="6" t="s">
        <v>308</v>
      </c>
      <c r="W32" s="6" t="s">
        <v>56</v>
      </c>
      <c r="X32" s="6"/>
      <c r="Y32" s="6" t="s">
        <v>57</v>
      </c>
    </row>
    <row r="33" customFormat="false" ht="102.2" hidden="false" customHeight="false" outlineLevel="0" collapsed="false">
      <c r="A33" s="6" t="n">
        <v>32</v>
      </c>
      <c r="B33" s="7" t="b">
        <f aca="false">FALSE()</f>
        <v>0</v>
      </c>
      <c r="C33" s="8"/>
      <c r="D33" s="8"/>
      <c r="E33" s="8"/>
      <c r="F33" s="6" t="s">
        <v>309</v>
      </c>
      <c r="G33" s="6" t="s">
        <v>310</v>
      </c>
      <c r="H33" s="6" t="s">
        <v>311</v>
      </c>
      <c r="I33" s="6" t="s">
        <v>47</v>
      </c>
      <c r="J33" s="7" t="b">
        <f aca="false">TRUE()</f>
        <v>1</v>
      </c>
      <c r="K33" s="7" t="b">
        <f aca="false">FALSE()</f>
        <v>0</v>
      </c>
      <c r="L33" s="6"/>
      <c r="M33" s="6" t="s">
        <v>73</v>
      </c>
      <c r="N33" s="6" t="s">
        <v>49</v>
      </c>
      <c r="O33" s="6" t="s">
        <v>50</v>
      </c>
      <c r="P33" s="6" t="n">
        <v>4</v>
      </c>
      <c r="Q33" s="6" t="n">
        <v>4</v>
      </c>
      <c r="R33" s="6" t="s">
        <v>312</v>
      </c>
      <c r="S33" s="6" t="s">
        <v>313</v>
      </c>
      <c r="T33" s="6" t="s">
        <v>314</v>
      </c>
      <c r="U33" s="6" t="s">
        <v>54</v>
      </c>
      <c r="V33" s="6" t="s">
        <v>315</v>
      </c>
      <c r="W33" s="6" t="s">
        <v>56</v>
      </c>
      <c r="X33" s="6"/>
      <c r="Y33" s="6" t="s">
        <v>57</v>
      </c>
    </row>
    <row r="34" customFormat="false" ht="91" hidden="false" customHeight="false" outlineLevel="0" collapsed="false">
      <c r="A34" s="6" t="n">
        <v>33</v>
      </c>
      <c r="B34" s="7" t="b">
        <f aca="false">FALSE()</f>
        <v>0</v>
      </c>
      <c r="C34" s="8"/>
      <c r="D34" s="8"/>
      <c r="E34" s="8"/>
      <c r="F34" s="6" t="s">
        <v>316</v>
      </c>
      <c r="G34" s="6" t="s">
        <v>317</v>
      </c>
      <c r="H34" s="6" t="s">
        <v>318</v>
      </c>
      <c r="I34" s="6" t="s">
        <v>61</v>
      </c>
      <c r="J34" s="7" t="b">
        <f aca="false">TRUE()</f>
        <v>1</v>
      </c>
      <c r="K34" s="7" t="b">
        <f aca="false">FALSE()</f>
        <v>0</v>
      </c>
      <c r="L34" s="6"/>
      <c r="M34" s="6" t="s">
        <v>83</v>
      </c>
      <c r="N34" s="6" t="s">
        <v>84</v>
      </c>
      <c r="O34" s="6" t="s">
        <v>64</v>
      </c>
      <c r="P34" s="6" t="n">
        <v>4</v>
      </c>
      <c r="Q34" s="6" t="n">
        <v>4</v>
      </c>
      <c r="R34" s="6" t="s">
        <v>319</v>
      </c>
      <c r="S34" s="6" t="s">
        <v>320</v>
      </c>
      <c r="T34" s="6" t="s">
        <v>321</v>
      </c>
      <c r="U34" s="6" t="s">
        <v>54</v>
      </c>
      <c r="V34" s="6" t="s">
        <v>322</v>
      </c>
      <c r="W34" s="6" t="s">
        <v>56</v>
      </c>
      <c r="X34" s="6"/>
      <c r="Y34" s="6"/>
    </row>
    <row r="35" customFormat="false" ht="91" hidden="false" customHeight="false" outlineLevel="0" collapsed="false">
      <c r="A35" s="6" t="n">
        <v>34</v>
      </c>
      <c r="B35" s="7" t="b">
        <f aca="false">FALSE()</f>
        <v>0</v>
      </c>
      <c r="C35" s="8"/>
      <c r="D35" s="8"/>
      <c r="E35" s="8"/>
      <c r="F35" s="6" t="s">
        <v>323</v>
      </c>
      <c r="G35" s="6" t="s">
        <v>324</v>
      </c>
      <c r="H35" s="6" t="s">
        <v>325</v>
      </c>
      <c r="I35" s="6" t="s">
        <v>72</v>
      </c>
      <c r="J35" s="7" t="b">
        <f aca="false">TRUE()</f>
        <v>1</v>
      </c>
      <c r="K35" s="7" t="b">
        <f aca="false">FALSE()</f>
        <v>0</v>
      </c>
      <c r="L35" s="6"/>
      <c r="M35" s="6" t="s">
        <v>48</v>
      </c>
      <c r="N35" s="6" t="s">
        <v>49</v>
      </c>
      <c r="O35" s="6" t="s">
        <v>74</v>
      </c>
      <c r="P35" s="6" t="n">
        <v>5</v>
      </c>
      <c r="Q35" s="6" t="n">
        <v>4</v>
      </c>
      <c r="R35" s="6" t="s">
        <v>326</v>
      </c>
      <c r="S35" s="6" t="s">
        <v>327</v>
      </c>
      <c r="T35" s="6" t="s">
        <v>328</v>
      </c>
      <c r="U35" s="6" t="s">
        <v>54</v>
      </c>
      <c r="V35" s="6" t="s">
        <v>329</v>
      </c>
      <c r="W35" s="6" t="s">
        <v>56</v>
      </c>
      <c r="X35" s="6"/>
      <c r="Y35" s="6"/>
    </row>
    <row r="36" customFormat="false" ht="91" hidden="false" customHeight="false" outlineLevel="0" collapsed="false">
      <c r="A36" s="6" t="n">
        <v>35</v>
      </c>
      <c r="B36" s="7" t="b">
        <f aca="false">FALSE()</f>
        <v>0</v>
      </c>
      <c r="C36" s="8"/>
      <c r="D36" s="8"/>
      <c r="E36" s="8"/>
      <c r="F36" s="6" t="s">
        <v>330</v>
      </c>
      <c r="G36" s="6" t="s">
        <v>331</v>
      </c>
      <c r="H36" s="6" t="s">
        <v>332</v>
      </c>
      <c r="I36" s="6" t="s">
        <v>72</v>
      </c>
      <c r="J36" s="7" t="b">
        <f aca="false">TRUE()</f>
        <v>1</v>
      </c>
      <c r="K36" s="7" t="b">
        <f aca="false">FALSE()</f>
        <v>0</v>
      </c>
      <c r="L36" s="6"/>
      <c r="M36" s="6" t="s">
        <v>48</v>
      </c>
      <c r="N36" s="6" t="s">
        <v>49</v>
      </c>
      <c r="O36" s="6" t="s">
        <v>74</v>
      </c>
      <c r="P36" s="6" t="n">
        <v>5</v>
      </c>
      <c r="Q36" s="6" t="n">
        <v>4</v>
      </c>
      <c r="R36" s="6" t="s">
        <v>333</v>
      </c>
      <c r="S36" s="6" t="s">
        <v>334</v>
      </c>
      <c r="T36" s="6" t="s">
        <v>335</v>
      </c>
      <c r="U36" s="6" t="s">
        <v>54</v>
      </c>
      <c r="V36" s="6" t="s">
        <v>336</v>
      </c>
      <c r="W36" s="6" t="s">
        <v>56</v>
      </c>
      <c r="X36" s="6"/>
      <c r="Y36" s="6"/>
    </row>
    <row r="37" customFormat="false" ht="68.65" hidden="false" customHeight="false" outlineLevel="0" collapsed="false">
      <c r="A37" s="6" t="n">
        <v>36</v>
      </c>
      <c r="B37" s="7" t="b">
        <f aca="false">FALSE()</f>
        <v>0</v>
      </c>
      <c r="C37" s="8"/>
      <c r="D37" s="8"/>
      <c r="E37" s="8"/>
      <c r="F37" s="6" t="s">
        <v>337</v>
      </c>
      <c r="G37" s="6" t="s">
        <v>338</v>
      </c>
      <c r="H37" s="6" t="s">
        <v>338</v>
      </c>
      <c r="I37" s="6" t="s">
        <v>92</v>
      </c>
      <c r="J37" s="7" t="b">
        <f aca="false">TRUE()</f>
        <v>1</v>
      </c>
      <c r="K37" s="7" t="b">
        <f aca="false">FALSE()</f>
        <v>0</v>
      </c>
      <c r="L37" s="6"/>
      <c r="M37" s="6" t="s">
        <v>48</v>
      </c>
      <c r="N37" s="6" t="s">
        <v>49</v>
      </c>
      <c r="O37" s="6" t="s">
        <v>74</v>
      </c>
      <c r="P37" s="6" t="n">
        <v>5</v>
      </c>
      <c r="Q37" s="6" t="n">
        <v>4</v>
      </c>
      <c r="R37" s="6" t="s">
        <v>339</v>
      </c>
      <c r="S37" s="6" t="s">
        <v>340</v>
      </c>
      <c r="T37" s="6" t="s">
        <v>341</v>
      </c>
      <c r="U37" s="6" t="s">
        <v>54</v>
      </c>
      <c r="V37" s="6" t="s">
        <v>342</v>
      </c>
      <c r="W37" s="6" t="s">
        <v>56</v>
      </c>
      <c r="X37" s="6"/>
      <c r="Y37" s="6"/>
    </row>
    <row r="38" customFormat="false" ht="79.85" hidden="false" customHeight="false" outlineLevel="0" collapsed="false">
      <c r="A38" s="6" t="n">
        <v>37</v>
      </c>
      <c r="B38" s="7" t="b">
        <f aca="false">FALSE()</f>
        <v>0</v>
      </c>
      <c r="C38" s="8"/>
      <c r="D38" s="8"/>
      <c r="E38" s="8"/>
      <c r="F38" s="6" t="s">
        <v>343</v>
      </c>
      <c r="G38" s="6" t="s">
        <v>344</v>
      </c>
      <c r="H38" s="6" t="s">
        <v>345</v>
      </c>
      <c r="I38" s="6" t="s">
        <v>92</v>
      </c>
      <c r="J38" s="7" t="b">
        <f aca="false">TRUE()</f>
        <v>1</v>
      </c>
      <c r="K38" s="7" t="b">
        <f aca="false">FALSE()</f>
        <v>0</v>
      </c>
      <c r="L38" s="6"/>
      <c r="M38" s="6" t="s">
        <v>83</v>
      </c>
      <c r="N38" s="6" t="s">
        <v>84</v>
      </c>
      <c r="O38" s="6" t="s">
        <v>74</v>
      </c>
      <c r="P38" s="6" t="n">
        <v>5</v>
      </c>
      <c r="Q38" s="6" t="n">
        <v>4</v>
      </c>
      <c r="R38" s="6" t="s">
        <v>346</v>
      </c>
      <c r="S38" s="6" t="s">
        <v>347</v>
      </c>
      <c r="T38" s="6" t="s">
        <v>348</v>
      </c>
      <c r="U38" s="6" t="s">
        <v>54</v>
      </c>
      <c r="V38" s="6" t="s">
        <v>349</v>
      </c>
      <c r="W38" s="6" t="s">
        <v>56</v>
      </c>
      <c r="X38" s="6"/>
      <c r="Y38" s="6"/>
    </row>
    <row r="39" customFormat="false" ht="57.45" hidden="false" customHeight="false" outlineLevel="0" collapsed="false">
      <c r="A39" s="6" t="n">
        <v>38</v>
      </c>
      <c r="B39" s="7" t="b">
        <f aca="false">FALSE()</f>
        <v>0</v>
      </c>
      <c r="C39" s="8"/>
      <c r="D39" s="8"/>
      <c r="E39" s="8"/>
      <c r="F39" s="6" t="s">
        <v>350</v>
      </c>
      <c r="G39" s="6" t="s">
        <v>351</v>
      </c>
      <c r="H39" s="6" t="s">
        <v>352</v>
      </c>
      <c r="I39" s="6" t="s">
        <v>353</v>
      </c>
      <c r="J39" s="7" t="b">
        <f aca="false">TRUE()</f>
        <v>1</v>
      </c>
      <c r="K39" s="7" t="b">
        <f aca="false">FALSE()</f>
        <v>0</v>
      </c>
      <c r="L39" s="6"/>
      <c r="M39" s="6" t="s">
        <v>62</v>
      </c>
      <c r="N39" s="6" t="s">
        <v>63</v>
      </c>
      <c r="O39" s="6" t="s">
        <v>74</v>
      </c>
      <c r="P39" s="6" t="n">
        <v>5</v>
      </c>
      <c r="Q39" s="6" t="n">
        <v>4</v>
      </c>
      <c r="R39" s="6" t="s">
        <v>354</v>
      </c>
      <c r="S39" s="6" t="s">
        <v>355</v>
      </c>
      <c r="T39" s="6" t="s">
        <v>356</v>
      </c>
      <c r="U39" s="6" t="s">
        <v>54</v>
      </c>
      <c r="V39" s="6" t="s">
        <v>357</v>
      </c>
      <c r="W39" s="6" t="s">
        <v>56</v>
      </c>
      <c r="X39" s="6"/>
      <c r="Y39" s="6"/>
    </row>
    <row r="40" customFormat="false" ht="113.4" hidden="false" customHeight="false" outlineLevel="0" collapsed="false">
      <c r="A40" s="6" t="n">
        <v>39</v>
      </c>
      <c r="B40" s="7" t="b">
        <f aca="false">FALSE()</f>
        <v>0</v>
      </c>
      <c r="C40" s="8"/>
      <c r="D40" s="8"/>
      <c r="E40" s="8"/>
      <c r="F40" s="6" t="s">
        <v>358</v>
      </c>
      <c r="G40" s="6" t="s">
        <v>359</v>
      </c>
      <c r="H40" s="6" t="s">
        <v>360</v>
      </c>
      <c r="I40" s="6" t="s">
        <v>100</v>
      </c>
      <c r="J40" s="7" t="b">
        <f aca="false">TRUE()</f>
        <v>1</v>
      </c>
      <c r="K40" s="7" t="b">
        <f aca="false">FALSE()</f>
        <v>0</v>
      </c>
      <c r="L40" s="6"/>
      <c r="M40" s="6" t="s">
        <v>48</v>
      </c>
      <c r="N40" s="6" t="s">
        <v>49</v>
      </c>
      <c r="O40" s="6" t="s">
        <v>150</v>
      </c>
      <c r="P40" s="6" t="n">
        <v>5</v>
      </c>
      <c r="Q40" s="6" t="n">
        <v>4</v>
      </c>
      <c r="R40" s="6" t="s">
        <v>361</v>
      </c>
      <c r="S40" s="6" t="s">
        <v>362</v>
      </c>
      <c r="T40" s="6" t="s">
        <v>363</v>
      </c>
      <c r="U40" s="6" t="s">
        <v>54</v>
      </c>
      <c r="V40" s="6" t="s">
        <v>364</v>
      </c>
      <c r="W40" s="6" t="s">
        <v>56</v>
      </c>
      <c r="X40" s="6"/>
      <c r="Y40" s="6"/>
    </row>
    <row r="41" customFormat="false" ht="102.2" hidden="false" customHeight="false" outlineLevel="0" collapsed="false">
      <c r="A41" s="6" t="n">
        <v>40</v>
      </c>
      <c r="B41" s="7" t="b">
        <f aca="false">FALSE()</f>
        <v>0</v>
      </c>
      <c r="C41" s="8"/>
      <c r="D41" s="8"/>
      <c r="E41" s="8"/>
      <c r="F41" s="6" t="s">
        <v>365</v>
      </c>
      <c r="G41" s="6" t="s">
        <v>366</v>
      </c>
      <c r="H41" s="6" t="s">
        <v>367</v>
      </c>
      <c r="I41" s="6" t="s">
        <v>100</v>
      </c>
      <c r="J41" s="7" t="b">
        <f aca="false">TRUE()</f>
        <v>1</v>
      </c>
      <c r="K41" s="7" t="b">
        <f aca="false">TRUE()</f>
        <v>1</v>
      </c>
      <c r="L41" s="6"/>
      <c r="M41" s="6" t="s">
        <v>73</v>
      </c>
      <c r="N41" s="6" t="s">
        <v>49</v>
      </c>
      <c r="O41" s="6" t="s">
        <v>74</v>
      </c>
      <c r="P41" s="6" t="n">
        <v>5</v>
      </c>
      <c r="Q41" s="6" t="n">
        <v>4</v>
      </c>
      <c r="R41" s="6" t="s">
        <v>368</v>
      </c>
      <c r="S41" s="6" t="s">
        <v>369</v>
      </c>
      <c r="T41" s="6" t="s">
        <v>370</v>
      </c>
      <c r="U41" s="6" t="s">
        <v>54</v>
      </c>
      <c r="V41" s="6" t="s">
        <v>371</v>
      </c>
      <c r="W41" s="6" t="s">
        <v>56</v>
      </c>
      <c r="X41" s="6"/>
      <c r="Y41" s="6"/>
    </row>
    <row r="42" customFormat="false" ht="91" hidden="false" customHeight="false" outlineLevel="0" collapsed="false">
      <c r="A42" s="6" t="n">
        <v>41</v>
      </c>
      <c r="B42" s="7" t="b">
        <f aca="false">FALSE()</f>
        <v>0</v>
      </c>
      <c r="C42" s="8"/>
      <c r="D42" s="8"/>
      <c r="E42" s="8"/>
      <c r="F42" s="6" t="s">
        <v>372</v>
      </c>
      <c r="G42" s="6" t="s">
        <v>373</v>
      </c>
      <c r="H42" s="6" t="s">
        <v>374</v>
      </c>
      <c r="I42" s="6" t="s">
        <v>100</v>
      </c>
      <c r="J42" s="7" t="b">
        <f aca="false">TRUE()</f>
        <v>1</v>
      </c>
      <c r="K42" s="7" t="b">
        <f aca="false">FALSE()</f>
        <v>0</v>
      </c>
      <c r="L42" s="6"/>
      <c r="M42" s="6" t="s">
        <v>73</v>
      </c>
      <c r="N42" s="6" t="s">
        <v>63</v>
      </c>
      <c r="O42" s="6" t="s">
        <v>50</v>
      </c>
      <c r="P42" s="6" t="n">
        <v>5</v>
      </c>
      <c r="Q42" s="6" t="n">
        <v>4</v>
      </c>
      <c r="R42" s="6" t="s">
        <v>375</v>
      </c>
      <c r="S42" s="6" t="s">
        <v>376</v>
      </c>
      <c r="T42" s="6" t="s">
        <v>377</v>
      </c>
      <c r="U42" s="6" t="s">
        <v>54</v>
      </c>
      <c r="V42" s="6" t="s">
        <v>378</v>
      </c>
      <c r="W42" s="6" t="s">
        <v>56</v>
      </c>
      <c r="X42" s="6"/>
      <c r="Y42" s="6"/>
    </row>
    <row r="43" customFormat="false" ht="68.65" hidden="false" customHeight="false" outlineLevel="0" collapsed="false">
      <c r="A43" s="6" t="n">
        <v>42</v>
      </c>
      <c r="B43" s="7" t="b">
        <f aca="false">FALSE()</f>
        <v>0</v>
      </c>
      <c r="C43" s="8"/>
      <c r="D43" s="8"/>
      <c r="E43" s="8"/>
      <c r="F43" s="6" t="s">
        <v>379</v>
      </c>
      <c r="G43" s="6" t="s">
        <v>380</v>
      </c>
      <c r="H43" s="6" t="s">
        <v>381</v>
      </c>
      <c r="I43" s="6" t="s">
        <v>100</v>
      </c>
      <c r="J43" s="7" t="b">
        <f aca="false">TRUE()</f>
        <v>1</v>
      </c>
      <c r="K43" s="7" t="b">
        <f aca="false">FALSE()</f>
        <v>0</v>
      </c>
      <c r="L43" s="6"/>
      <c r="M43" s="6" t="s">
        <v>62</v>
      </c>
      <c r="N43" s="6" t="s">
        <v>63</v>
      </c>
      <c r="O43" s="6" t="s">
        <v>207</v>
      </c>
      <c r="P43" s="6" t="n">
        <v>5</v>
      </c>
      <c r="Q43" s="6" t="n">
        <v>4</v>
      </c>
      <c r="R43" s="6" t="s">
        <v>382</v>
      </c>
      <c r="S43" s="6" t="s">
        <v>383</v>
      </c>
      <c r="T43" s="6" t="s">
        <v>384</v>
      </c>
      <c r="U43" s="6" t="s">
        <v>54</v>
      </c>
      <c r="V43" s="6" t="s">
        <v>385</v>
      </c>
      <c r="W43" s="6" t="s">
        <v>56</v>
      </c>
      <c r="X43" s="6"/>
      <c r="Y43" s="6"/>
    </row>
    <row r="44" customFormat="false" ht="124.6" hidden="false" customHeight="false" outlineLevel="0" collapsed="false">
      <c r="A44" s="6" t="n">
        <v>43</v>
      </c>
      <c r="B44" s="7" t="b">
        <f aca="false">FALSE()</f>
        <v>0</v>
      </c>
      <c r="C44" s="8"/>
      <c r="D44" s="8"/>
      <c r="E44" s="8"/>
      <c r="F44" s="6" t="s">
        <v>386</v>
      </c>
      <c r="G44" s="6" t="s">
        <v>387</v>
      </c>
      <c r="H44" s="6" t="s">
        <v>388</v>
      </c>
      <c r="I44" s="6" t="s">
        <v>109</v>
      </c>
      <c r="J44" s="7" t="b">
        <f aca="false">TRUE()</f>
        <v>1</v>
      </c>
      <c r="K44" s="7" t="b">
        <f aca="false">FALSE()</f>
        <v>0</v>
      </c>
      <c r="L44" s="6"/>
      <c r="M44" s="6" t="s">
        <v>48</v>
      </c>
      <c r="N44" s="6" t="s">
        <v>49</v>
      </c>
      <c r="O44" s="6" t="s">
        <v>101</v>
      </c>
      <c r="P44" s="6" t="n">
        <v>5</v>
      </c>
      <c r="Q44" s="6" t="n">
        <v>4</v>
      </c>
      <c r="R44" s="6" t="s">
        <v>389</v>
      </c>
      <c r="S44" s="6" t="s">
        <v>390</v>
      </c>
      <c r="T44" s="6" t="s">
        <v>391</v>
      </c>
      <c r="U44" s="6" t="s">
        <v>54</v>
      </c>
      <c r="V44" s="6" t="s">
        <v>392</v>
      </c>
      <c r="W44" s="6" t="s">
        <v>56</v>
      </c>
      <c r="X44" s="6"/>
      <c r="Y44" s="6"/>
    </row>
    <row r="45" customFormat="false" ht="124.6" hidden="false" customHeight="false" outlineLevel="0" collapsed="false">
      <c r="A45" s="6" t="n">
        <v>44</v>
      </c>
      <c r="B45" s="7" t="b">
        <f aca="false">FALSE()</f>
        <v>0</v>
      </c>
      <c r="C45" s="8"/>
      <c r="D45" s="8"/>
      <c r="E45" s="8"/>
      <c r="F45" s="6" t="s">
        <v>393</v>
      </c>
      <c r="G45" s="6" t="s">
        <v>394</v>
      </c>
      <c r="H45" s="6" t="s">
        <v>395</v>
      </c>
      <c r="I45" s="6" t="s">
        <v>109</v>
      </c>
      <c r="J45" s="7" t="b">
        <f aca="false">TRUE()</f>
        <v>1</v>
      </c>
      <c r="K45" s="7" t="b">
        <f aca="false">TRUE()</f>
        <v>1</v>
      </c>
      <c r="L45" s="6"/>
      <c r="M45" s="6" t="s">
        <v>83</v>
      </c>
      <c r="N45" s="6" t="s">
        <v>84</v>
      </c>
      <c r="O45" s="6" t="s">
        <v>74</v>
      </c>
      <c r="P45" s="6" t="n">
        <v>5</v>
      </c>
      <c r="Q45" s="6" t="n">
        <v>4</v>
      </c>
      <c r="R45" s="6" t="s">
        <v>396</v>
      </c>
      <c r="S45" s="6" t="s">
        <v>397</v>
      </c>
      <c r="T45" s="6" t="s">
        <v>398</v>
      </c>
      <c r="U45" s="6" t="s">
        <v>54</v>
      </c>
      <c r="V45" s="6" t="s">
        <v>399</v>
      </c>
      <c r="W45" s="6" t="s">
        <v>400</v>
      </c>
      <c r="X45" s="6" t="s">
        <v>401</v>
      </c>
      <c r="Y45" s="6" t="s">
        <v>402</v>
      </c>
    </row>
    <row r="46" customFormat="false" ht="68.65" hidden="false" customHeight="false" outlineLevel="0" collapsed="false">
      <c r="A46" s="6" t="n">
        <v>45</v>
      </c>
      <c r="B46" s="7" t="b">
        <f aca="false">FALSE()</f>
        <v>0</v>
      </c>
      <c r="C46" s="8"/>
      <c r="D46" s="8"/>
      <c r="E46" s="8"/>
      <c r="F46" s="6" t="s">
        <v>403</v>
      </c>
      <c r="G46" s="6" t="s">
        <v>404</v>
      </c>
      <c r="H46" s="6" t="s">
        <v>405</v>
      </c>
      <c r="I46" s="6" t="s">
        <v>109</v>
      </c>
      <c r="J46" s="7" t="b">
        <f aca="false">TRUE()</f>
        <v>1</v>
      </c>
      <c r="K46" s="7" t="b">
        <f aca="false">FALSE()</f>
        <v>0</v>
      </c>
      <c r="L46" s="6"/>
      <c r="M46" s="6" t="s">
        <v>48</v>
      </c>
      <c r="N46" s="6" t="s">
        <v>49</v>
      </c>
      <c r="O46" s="6" t="s">
        <v>50</v>
      </c>
      <c r="P46" s="6" t="n">
        <v>5</v>
      </c>
      <c r="Q46" s="6" t="n">
        <v>4</v>
      </c>
      <c r="R46" s="6" t="s">
        <v>406</v>
      </c>
      <c r="S46" s="6" t="s">
        <v>407</v>
      </c>
      <c r="T46" s="6" t="s">
        <v>408</v>
      </c>
      <c r="U46" s="6" t="s">
        <v>54</v>
      </c>
      <c r="V46" s="6" t="s">
        <v>409</v>
      </c>
      <c r="W46" s="6" t="s">
        <v>56</v>
      </c>
      <c r="X46" s="6"/>
      <c r="Y46" s="6"/>
    </row>
    <row r="47" customFormat="false" ht="91" hidden="false" customHeight="false" outlineLevel="0" collapsed="false">
      <c r="A47" s="6" t="n">
        <v>46</v>
      </c>
      <c r="B47" s="7" t="b">
        <f aca="false">FALSE()</f>
        <v>0</v>
      </c>
      <c r="C47" s="8"/>
      <c r="D47" s="8"/>
      <c r="E47" s="8"/>
      <c r="F47" s="6" t="s">
        <v>410</v>
      </c>
      <c r="G47" s="6" t="s">
        <v>411</v>
      </c>
      <c r="H47" s="6" t="s">
        <v>412</v>
      </c>
      <c r="I47" s="6" t="s">
        <v>413</v>
      </c>
      <c r="J47" s="7" t="b">
        <f aca="false">TRUE()</f>
        <v>1</v>
      </c>
      <c r="K47" s="7" t="b">
        <f aca="false">FALSE()</f>
        <v>0</v>
      </c>
      <c r="L47" s="6"/>
      <c r="M47" s="6" t="s">
        <v>62</v>
      </c>
      <c r="N47" s="6" t="s">
        <v>63</v>
      </c>
      <c r="O47" s="6" t="s">
        <v>101</v>
      </c>
      <c r="P47" s="6" t="n">
        <v>5</v>
      </c>
      <c r="Q47" s="6" t="n">
        <v>4</v>
      </c>
      <c r="R47" s="6" t="s">
        <v>414</v>
      </c>
      <c r="S47" s="6" t="s">
        <v>415</v>
      </c>
      <c r="T47" s="6" t="s">
        <v>416</v>
      </c>
      <c r="U47" s="6" t="s">
        <v>54</v>
      </c>
      <c r="V47" s="6" t="s">
        <v>417</v>
      </c>
      <c r="W47" s="6" t="s">
        <v>56</v>
      </c>
      <c r="X47" s="6"/>
      <c r="Y47" s="6"/>
    </row>
    <row r="48" customFormat="false" ht="91" hidden="false" customHeight="false" outlineLevel="0" collapsed="false">
      <c r="A48" s="6" t="n">
        <v>47</v>
      </c>
      <c r="B48" s="7" t="b">
        <f aca="false">FALSE()</f>
        <v>0</v>
      </c>
      <c r="C48" s="8"/>
      <c r="D48" s="8"/>
      <c r="E48" s="8"/>
      <c r="F48" s="6" t="s">
        <v>418</v>
      </c>
      <c r="G48" s="6" t="s">
        <v>419</v>
      </c>
      <c r="H48" s="6" t="s">
        <v>420</v>
      </c>
      <c r="I48" s="6" t="s">
        <v>413</v>
      </c>
      <c r="J48" s="7" t="b">
        <f aca="false">TRUE()</f>
        <v>1</v>
      </c>
      <c r="K48" s="7" t="b">
        <f aca="false">FALSE()</f>
        <v>0</v>
      </c>
      <c r="L48" s="6"/>
      <c r="M48" s="6" t="s">
        <v>83</v>
      </c>
      <c r="N48" s="6" t="s">
        <v>84</v>
      </c>
      <c r="O48" s="6" t="s">
        <v>101</v>
      </c>
      <c r="P48" s="6" t="n">
        <v>4</v>
      </c>
      <c r="Q48" s="6" t="n">
        <v>4</v>
      </c>
      <c r="R48" s="6" t="s">
        <v>421</v>
      </c>
      <c r="S48" s="6" t="s">
        <v>422</v>
      </c>
      <c r="T48" s="6" t="s">
        <v>423</v>
      </c>
      <c r="U48" s="6" t="s">
        <v>54</v>
      </c>
      <c r="V48" s="6" t="s">
        <v>424</v>
      </c>
      <c r="W48" s="6" t="s">
        <v>56</v>
      </c>
      <c r="X48" s="6"/>
      <c r="Y48" s="6"/>
    </row>
    <row r="49" customFormat="false" ht="102.2" hidden="false" customHeight="false" outlineLevel="0" collapsed="false">
      <c r="A49" s="6" t="n">
        <v>48</v>
      </c>
      <c r="B49" s="7" t="b">
        <f aca="false">FALSE()</f>
        <v>0</v>
      </c>
      <c r="C49" s="8"/>
      <c r="D49" s="8"/>
      <c r="E49" s="8"/>
      <c r="F49" s="6" t="s">
        <v>425</v>
      </c>
      <c r="G49" s="6" t="s">
        <v>426</v>
      </c>
      <c r="H49" s="6" t="s">
        <v>427</v>
      </c>
      <c r="I49" s="6" t="s">
        <v>413</v>
      </c>
      <c r="J49" s="7" t="b">
        <f aca="false">TRUE()</f>
        <v>1</v>
      </c>
      <c r="K49" s="7" t="b">
        <f aca="false">FALSE()</f>
        <v>0</v>
      </c>
      <c r="L49" s="6"/>
      <c r="M49" s="6" t="s">
        <v>83</v>
      </c>
      <c r="N49" s="6" t="s">
        <v>84</v>
      </c>
      <c r="O49" s="6" t="s">
        <v>50</v>
      </c>
      <c r="P49" s="6" t="n">
        <v>5</v>
      </c>
      <c r="Q49" s="6" t="n">
        <v>4</v>
      </c>
      <c r="R49" s="6" t="s">
        <v>428</v>
      </c>
      <c r="S49" s="6" t="s">
        <v>429</v>
      </c>
      <c r="T49" s="6" t="s">
        <v>430</v>
      </c>
      <c r="U49" s="6" t="s">
        <v>54</v>
      </c>
      <c r="V49" s="6" t="s">
        <v>431</v>
      </c>
      <c r="W49" s="6" t="s">
        <v>56</v>
      </c>
      <c r="X49" s="6"/>
      <c r="Y49" s="6"/>
    </row>
    <row r="50" customFormat="false" ht="91" hidden="false" customHeight="false" outlineLevel="0" collapsed="false">
      <c r="A50" s="6" t="n">
        <v>49</v>
      </c>
      <c r="B50" s="7" t="b">
        <f aca="false">FALSE()</f>
        <v>0</v>
      </c>
      <c r="C50" s="8"/>
      <c r="D50" s="8"/>
      <c r="E50" s="8"/>
      <c r="F50" s="6" t="s">
        <v>432</v>
      </c>
      <c r="G50" s="6" t="s">
        <v>433</v>
      </c>
      <c r="H50" s="6" t="s">
        <v>434</v>
      </c>
      <c r="I50" s="6" t="s">
        <v>413</v>
      </c>
      <c r="J50" s="7" t="b">
        <f aca="false">TRUE()</f>
        <v>1</v>
      </c>
      <c r="K50" s="7" t="b">
        <f aca="false">FALSE()</f>
        <v>0</v>
      </c>
      <c r="L50" s="6"/>
      <c r="M50" s="6" t="s">
        <v>48</v>
      </c>
      <c r="N50" s="6" t="s">
        <v>49</v>
      </c>
      <c r="O50" s="6" t="s">
        <v>207</v>
      </c>
      <c r="P50" s="6" t="n">
        <v>5</v>
      </c>
      <c r="Q50" s="6" t="n">
        <v>4</v>
      </c>
      <c r="R50" s="6" t="s">
        <v>435</v>
      </c>
      <c r="S50" s="6" t="s">
        <v>436</v>
      </c>
      <c r="T50" s="6" t="s">
        <v>437</v>
      </c>
      <c r="U50" s="6" t="s">
        <v>54</v>
      </c>
      <c r="V50" s="6" t="s">
        <v>438</v>
      </c>
      <c r="W50" s="6" t="s">
        <v>56</v>
      </c>
      <c r="X50" s="6"/>
      <c r="Y50" s="6"/>
    </row>
    <row r="51" customFormat="false" ht="68.65" hidden="false" customHeight="false" outlineLevel="0" collapsed="false">
      <c r="A51" s="6" t="n">
        <v>50</v>
      </c>
      <c r="B51" s="7" t="b">
        <f aca="false">FALSE()</f>
        <v>0</v>
      </c>
      <c r="C51" s="8"/>
      <c r="D51" s="8"/>
      <c r="E51" s="8"/>
      <c r="F51" s="6" t="s">
        <v>439</v>
      </c>
      <c r="G51" s="6" t="s">
        <v>440</v>
      </c>
      <c r="H51" s="6" t="s">
        <v>441</v>
      </c>
      <c r="I51" s="6" t="s">
        <v>215</v>
      </c>
      <c r="J51" s="7" t="b">
        <f aca="false">TRUE()</f>
        <v>1</v>
      </c>
      <c r="K51" s="7" t="b">
        <f aca="false">FALSE()</f>
        <v>0</v>
      </c>
      <c r="L51" s="6"/>
      <c r="M51" s="6" t="s">
        <v>62</v>
      </c>
      <c r="N51" s="6" t="s">
        <v>63</v>
      </c>
      <c r="O51" s="6" t="s">
        <v>101</v>
      </c>
      <c r="P51" s="6" t="n">
        <v>5</v>
      </c>
      <c r="Q51" s="6" t="n">
        <v>3</v>
      </c>
      <c r="R51" s="6" t="s">
        <v>442</v>
      </c>
      <c r="S51" s="6" t="s">
        <v>443</v>
      </c>
      <c r="T51" s="6" t="s">
        <v>444</v>
      </c>
      <c r="U51" s="6" t="s">
        <v>54</v>
      </c>
      <c r="V51" s="6" t="s">
        <v>445</v>
      </c>
      <c r="W51" s="6" t="s">
        <v>56</v>
      </c>
      <c r="X51" s="6"/>
      <c r="Y51" s="6"/>
    </row>
    <row r="52" customFormat="false" ht="79.85" hidden="false" customHeight="false" outlineLevel="0" collapsed="false">
      <c r="A52" s="6" t="n">
        <v>51</v>
      </c>
      <c r="B52" s="7" t="b">
        <f aca="false">FALSE()</f>
        <v>0</v>
      </c>
      <c r="C52" s="8"/>
      <c r="D52" s="8"/>
      <c r="E52" s="8"/>
      <c r="F52" s="6" t="s">
        <v>446</v>
      </c>
      <c r="G52" s="6" t="s">
        <v>447</v>
      </c>
      <c r="H52" s="6" t="s">
        <v>448</v>
      </c>
      <c r="I52" s="6" t="s">
        <v>126</v>
      </c>
      <c r="J52" s="7" t="b">
        <f aca="false">TRUE()</f>
        <v>1</v>
      </c>
      <c r="K52" s="7" t="b">
        <f aca="false">FALSE()</f>
        <v>0</v>
      </c>
      <c r="L52" s="6"/>
      <c r="M52" s="6" t="s">
        <v>62</v>
      </c>
      <c r="N52" s="6" t="s">
        <v>63</v>
      </c>
      <c r="O52" s="6" t="s">
        <v>198</v>
      </c>
      <c r="P52" s="6" t="n">
        <v>5</v>
      </c>
      <c r="Q52" s="6" t="n">
        <v>4</v>
      </c>
      <c r="R52" s="6" t="s">
        <v>449</v>
      </c>
      <c r="S52" s="6" t="s">
        <v>450</v>
      </c>
      <c r="T52" s="6" t="s">
        <v>451</v>
      </c>
      <c r="U52" s="6" t="s">
        <v>54</v>
      </c>
      <c r="V52" s="6" t="s">
        <v>452</v>
      </c>
      <c r="W52" s="6" t="s">
        <v>56</v>
      </c>
      <c r="X52" s="6"/>
      <c r="Y52" s="6"/>
    </row>
    <row r="53" customFormat="false" ht="91" hidden="false" customHeight="false" outlineLevel="0" collapsed="false">
      <c r="A53" s="6" t="n">
        <v>52</v>
      </c>
      <c r="B53" s="7" t="b">
        <f aca="false">FALSE()</f>
        <v>0</v>
      </c>
      <c r="C53" s="8"/>
      <c r="D53" s="8"/>
      <c r="E53" s="8"/>
      <c r="F53" s="6" t="s">
        <v>453</v>
      </c>
      <c r="G53" s="6" t="s">
        <v>454</v>
      </c>
      <c r="H53" s="6" t="s">
        <v>455</v>
      </c>
      <c r="I53" s="6" t="s">
        <v>126</v>
      </c>
      <c r="J53" s="7" t="b">
        <f aca="false">TRUE()</f>
        <v>1</v>
      </c>
      <c r="K53" s="7" t="b">
        <f aca="false">FALSE()</f>
        <v>0</v>
      </c>
      <c r="L53" s="6"/>
      <c r="M53" s="6" t="s">
        <v>83</v>
      </c>
      <c r="N53" s="6" t="s">
        <v>84</v>
      </c>
      <c r="O53" s="6" t="s">
        <v>101</v>
      </c>
      <c r="P53" s="6" t="n">
        <v>5</v>
      </c>
      <c r="Q53" s="6" t="n">
        <v>4</v>
      </c>
      <c r="R53" s="6" t="s">
        <v>456</v>
      </c>
      <c r="S53" s="6" t="s">
        <v>457</v>
      </c>
      <c r="T53" s="6" t="s">
        <v>458</v>
      </c>
      <c r="U53" s="6" t="s">
        <v>54</v>
      </c>
      <c r="V53" s="6" t="s">
        <v>459</v>
      </c>
      <c r="W53" s="6" t="s">
        <v>56</v>
      </c>
      <c r="X53" s="6"/>
      <c r="Y53" s="6"/>
    </row>
    <row r="54" customFormat="false" ht="102.2" hidden="false" customHeight="false" outlineLevel="0" collapsed="false">
      <c r="A54" s="6" t="n">
        <v>53</v>
      </c>
      <c r="B54" s="7" t="b">
        <f aca="false">FALSE()</f>
        <v>0</v>
      </c>
      <c r="C54" s="8"/>
      <c r="D54" s="8"/>
      <c r="E54" s="8"/>
      <c r="F54" s="6" t="s">
        <v>460</v>
      </c>
      <c r="G54" s="6" t="s">
        <v>461</v>
      </c>
      <c r="H54" s="6" t="s">
        <v>462</v>
      </c>
      <c r="I54" s="6" t="s">
        <v>126</v>
      </c>
      <c r="J54" s="7" t="b">
        <f aca="false">TRUE()</f>
        <v>1</v>
      </c>
      <c r="K54" s="7" t="b">
        <f aca="false">FALSE()</f>
        <v>0</v>
      </c>
      <c r="L54" s="6"/>
      <c r="M54" s="6" t="s">
        <v>83</v>
      </c>
      <c r="N54" s="6" t="s">
        <v>84</v>
      </c>
      <c r="O54" s="6" t="s">
        <v>101</v>
      </c>
      <c r="P54" s="6" t="n">
        <v>5</v>
      </c>
      <c r="Q54" s="6" t="n">
        <v>4</v>
      </c>
      <c r="R54" s="6" t="s">
        <v>463</v>
      </c>
      <c r="S54" s="6" t="s">
        <v>464</v>
      </c>
      <c r="T54" s="6" t="s">
        <v>465</v>
      </c>
      <c r="U54" s="6" t="s">
        <v>54</v>
      </c>
      <c r="V54" s="6" t="s">
        <v>466</v>
      </c>
      <c r="W54" s="6" t="s">
        <v>56</v>
      </c>
      <c r="X54" s="6"/>
      <c r="Y54" s="6"/>
    </row>
    <row r="55" customFormat="false" ht="68.65" hidden="false" customHeight="false" outlineLevel="0" collapsed="false">
      <c r="A55" s="6" t="n">
        <v>54</v>
      </c>
      <c r="B55" s="7" t="b">
        <f aca="false">FALSE()</f>
        <v>0</v>
      </c>
      <c r="C55" s="8"/>
      <c r="D55" s="8"/>
      <c r="E55" s="8"/>
      <c r="F55" s="6" t="s">
        <v>467</v>
      </c>
      <c r="G55" s="6" t="s">
        <v>468</v>
      </c>
      <c r="H55" s="6" t="s">
        <v>469</v>
      </c>
      <c r="I55" s="6" t="s">
        <v>141</v>
      </c>
      <c r="J55" s="7" t="b">
        <f aca="false">TRUE()</f>
        <v>1</v>
      </c>
      <c r="K55" s="7" t="b">
        <f aca="false">FALSE()</f>
        <v>0</v>
      </c>
      <c r="L55" s="6"/>
      <c r="M55" s="6" t="s">
        <v>48</v>
      </c>
      <c r="N55" s="6" t="s">
        <v>49</v>
      </c>
      <c r="O55" s="6" t="s">
        <v>198</v>
      </c>
      <c r="P55" s="6" t="n">
        <v>5</v>
      </c>
      <c r="Q55" s="6" t="n">
        <v>4</v>
      </c>
      <c r="R55" s="6" t="s">
        <v>470</v>
      </c>
      <c r="S55" s="6" t="s">
        <v>471</v>
      </c>
      <c r="T55" s="6" t="s">
        <v>472</v>
      </c>
      <c r="U55" s="6" t="s">
        <v>54</v>
      </c>
      <c r="V55" s="6" t="s">
        <v>473</v>
      </c>
      <c r="W55" s="6" t="s">
        <v>56</v>
      </c>
      <c r="X55" s="6"/>
      <c r="Y55" s="6"/>
    </row>
    <row r="56" customFormat="false" ht="113.4" hidden="false" customHeight="false" outlineLevel="0" collapsed="false">
      <c r="A56" s="6" t="n">
        <v>55</v>
      </c>
      <c r="B56" s="7" t="b">
        <f aca="false">FALSE()</f>
        <v>0</v>
      </c>
      <c r="C56" s="8"/>
      <c r="D56" s="8"/>
      <c r="E56" s="8"/>
      <c r="F56" s="6" t="s">
        <v>474</v>
      </c>
      <c r="G56" s="6" t="s">
        <v>475</v>
      </c>
      <c r="H56" s="6" t="s">
        <v>476</v>
      </c>
      <c r="I56" s="6" t="s">
        <v>141</v>
      </c>
      <c r="J56" s="7" t="b">
        <f aca="false">TRUE()</f>
        <v>1</v>
      </c>
      <c r="K56" s="7" t="b">
        <f aca="false">FALSE()</f>
        <v>0</v>
      </c>
      <c r="L56" s="6"/>
      <c r="M56" s="6" t="s">
        <v>48</v>
      </c>
      <c r="N56" s="6" t="s">
        <v>49</v>
      </c>
      <c r="O56" s="6" t="s">
        <v>198</v>
      </c>
      <c r="P56" s="6" t="n">
        <v>5</v>
      </c>
      <c r="Q56" s="6" t="n">
        <v>3</v>
      </c>
      <c r="R56" s="6" t="s">
        <v>477</v>
      </c>
      <c r="S56" s="6" t="s">
        <v>478</v>
      </c>
      <c r="T56" s="6" t="s">
        <v>479</v>
      </c>
      <c r="U56" s="6" t="s">
        <v>54</v>
      </c>
      <c r="V56" s="6" t="s">
        <v>480</v>
      </c>
      <c r="W56" s="6" t="s">
        <v>56</v>
      </c>
      <c r="X56" s="6"/>
      <c r="Y56" s="6"/>
    </row>
    <row r="57" customFormat="false" ht="102.2" hidden="false" customHeight="false" outlineLevel="0" collapsed="false">
      <c r="A57" s="6" t="n">
        <v>56</v>
      </c>
      <c r="B57" s="7" t="b">
        <f aca="false">FALSE()</f>
        <v>0</v>
      </c>
      <c r="C57" s="8"/>
      <c r="D57" s="8"/>
      <c r="E57" s="8"/>
      <c r="F57" s="6" t="s">
        <v>481</v>
      </c>
      <c r="G57" s="6" t="s">
        <v>482</v>
      </c>
      <c r="H57" s="6" t="s">
        <v>483</v>
      </c>
      <c r="I57" s="6" t="s">
        <v>141</v>
      </c>
      <c r="J57" s="7" t="b">
        <f aca="false">TRUE()</f>
        <v>1</v>
      </c>
      <c r="K57" s="7" t="b">
        <f aca="false">TRUE()</f>
        <v>1</v>
      </c>
      <c r="L57" s="6"/>
      <c r="M57" s="6" t="s">
        <v>73</v>
      </c>
      <c r="N57" s="6" t="s">
        <v>49</v>
      </c>
      <c r="O57" s="6" t="s">
        <v>101</v>
      </c>
      <c r="P57" s="6" t="n">
        <v>5</v>
      </c>
      <c r="Q57" s="6" t="n">
        <v>4</v>
      </c>
      <c r="R57" s="6" t="s">
        <v>484</v>
      </c>
      <c r="S57" s="6" t="s">
        <v>485</v>
      </c>
      <c r="T57" s="6" t="s">
        <v>486</v>
      </c>
      <c r="U57" s="6" t="s">
        <v>54</v>
      </c>
      <c r="V57" s="6" t="s">
        <v>487</v>
      </c>
      <c r="W57" s="6" t="s">
        <v>56</v>
      </c>
      <c r="X57" s="6"/>
      <c r="Y57" s="6"/>
    </row>
    <row r="58" customFormat="false" ht="79.85" hidden="false" customHeight="false" outlineLevel="0" collapsed="false">
      <c r="A58" s="6" t="n">
        <v>57</v>
      </c>
      <c r="B58" s="7" t="b">
        <f aca="false">FALSE()</f>
        <v>0</v>
      </c>
      <c r="C58" s="8"/>
      <c r="D58" s="8"/>
      <c r="E58" s="8"/>
      <c r="F58" s="6" t="s">
        <v>488</v>
      </c>
      <c r="G58" s="6" t="s">
        <v>489</v>
      </c>
      <c r="H58" s="6" t="s">
        <v>490</v>
      </c>
      <c r="I58" s="6" t="s">
        <v>149</v>
      </c>
      <c r="J58" s="7" t="b">
        <f aca="false">TRUE()</f>
        <v>1</v>
      </c>
      <c r="K58" s="7" t="b">
        <f aca="false">FALSE()</f>
        <v>0</v>
      </c>
      <c r="L58" s="6"/>
      <c r="M58" s="6" t="s">
        <v>73</v>
      </c>
      <c r="N58" s="6" t="s">
        <v>63</v>
      </c>
      <c r="O58" s="6" t="s">
        <v>110</v>
      </c>
      <c r="P58" s="6" t="n">
        <v>5</v>
      </c>
      <c r="Q58" s="6" t="n">
        <v>3</v>
      </c>
      <c r="R58" s="6" t="s">
        <v>491</v>
      </c>
      <c r="S58" s="6" t="s">
        <v>492</v>
      </c>
      <c r="T58" s="6" t="s">
        <v>493</v>
      </c>
      <c r="U58" s="6" t="s">
        <v>54</v>
      </c>
      <c r="V58" s="6" t="s">
        <v>494</v>
      </c>
      <c r="W58" s="6" t="s">
        <v>400</v>
      </c>
      <c r="X58" s="6" t="s">
        <v>191</v>
      </c>
      <c r="Y58" s="6" t="s">
        <v>495</v>
      </c>
    </row>
    <row r="59" customFormat="false" ht="79.85" hidden="false" customHeight="false" outlineLevel="0" collapsed="false">
      <c r="A59" s="6" t="n">
        <v>58</v>
      </c>
      <c r="B59" s="7" t="b">
        <f aca="false">FALSE()</f>
        <v>0</v>
      </c>
      <c r="C59" s="8"/>
      <c r="D59" s="8"/>
      <c r="E59" s="8"/>
      <c r="F59" s="6" t="s">
        <v>496</v>
      </c>
      <c r="G59" s="6" t="s">
        <v>497</v>
      </c>
      <c r="H59" s="6" t="s">
        <v>498</v>
      </c>
      <c r="I59" s="6" t="s">
        <v>499</v>
      </c>
      <c r="J59" s="7" t="b">
        <f aca="false">TRUE()</f>
        <v>1</v>
      </c>
      <c r="K59" s="7" t="b">
        <f aca="false">FALSE()</f>
        <v>0</v>
      </c>
      <c r="L59" s="6"/>
      <c r="M59" s="6" t="s">
        <v>62</v>
      </c>
      <c r="N59" s="6" t="s">
        <v>63</v>
      </c>
      <c r="O59" s="6" t="s">
        <v>110</v>
      </c>
      <c r="P59" s="6" t="n">
        <v>5</v>
      </c>
      <c r="Q59" s="6" t="n">
        <v>3</v>
      </c>
      <c r="R59" s="6" t="s">
        <v>500</v>
      </c>
      <c r="S59" s="6" t="s">
        <v>501</v>
      </c>
      <c r="T59" s="6" t="s">
        <v>502</v>
      </c>
      <c r="U59" s="6" t="s">
        <v>54</v>
      </c>
      <c r="V59" s="6" t="s">
        <v>503</v>
      </c>
      <c r="W59" s="6" t="s">
        <v>56</v>
      </c>
      <c r="X59" s="6"/>
      <c r="Y59" s="6"/>
    </row>
    <row r="60" customFormat="false" ht="91" hidden="false" customHeight="false" outlineLevel="0" collapsed="false">
      <c r="A60" s="6" t="n">
        <v>59</v>
      </c>
      <c r="B60" s="7" t="b">
        <f aca="false">FALSE()</f>
        <v>0</v>
      </c>
      <c r="C60" s="8"/>
      <c r="D60" s="8"/>
      <c r="E60" s="8"/>
      <c r="F60" s="6" t="s">
        <v>504</v>
      </c>
      <c r="G60" s="6" t="s">
        <v>505</v>
      </c>
      <c r="H60" s="6" t="s">
        <v>506</v>
      </c>
      <c r="I60" s="6" t="s">
        <v>499</v>
      </c>
      <c r="J60" s="7" t="b">
        <f aca="false">TRUE()</f>
        <v>1</v>
      </c>
      <c r="K60" s="7" t="b">
        <f aca="false">FALSE()</f>
        <v>0</v>
      </c>
      <c r="L60" s="6"/>
      <c r="M60" s="6" t="s">
        <v>83</v>
      </c>
      <c r="N60" s="6" t="s">
        <v>84</v>
      </c>
      <c r="O60" s="6" t="s">
        <v>110</v>
      </c>
      <c r="P60" s="6" t="n">
        <v>5</v>
      </c>
      <c r="Q60" s="6" t="n">
        <v>4</v>
      </c>
      <c r="R60" s="6" t="s">
        <v>507</v>
      </c>
      <c r="S60" s="6" t="s">
        <v>508</v>
      </c>
      <c r="T60" s="6" t="s">
        <v>509</v>
      </c>
      <c r="U60" s="6" t="s">
        <v>54</v>
      </c>
      <c r="V60" s="6" t="s">
        <v>510</v>
      </c>
      <c r="W60" s="6" t="s">
        <v>56</v>
      </c>
      <c r="X60" s="6"/>
      <c r="Y60" s="6"/>
    </row>
    <row r="61" customFormat="false" ht="79.85" hidden="false" customHeight="false" outlineLevel="0" collapsed="false">
      <c r="A61" s="6" t="n">
        <v>60</v>
      </c>
      <c r="B61" s="7" t="b">
        <f aca="false">FALSE()</f>
        <v>0</v>
      </c>
      <c r="C61" s="8"/>
      <c r="D61" s="8"/>
      <c r="E61" s="8"/>
      <c r="F61" s="6" t="s">
        <v>511</v>
      </c>
      <c r="G61" s="6" t="s">
        <v>512</v>
      </c>
      <c r="H61" s="6" t="s">
        <v>513</v>
      </c>
      <c r="I61" s="6" t="s">
        <v>499</v>
      </c>
      <c r="J61" s="7" t="b">
        <f aca="false">TRUE()</f>
        <v>1</v>
      </c>
      <c r="K61" s="7" t="b">
        <f aca="false">FALSE()</f>
        <v>0</v>
      </c>
      <c r="L61" s="6"/>
      <c r="M61" s="6" t="s">
        <v>83</v>
      </c>
      <c r="N61" s="6" t="s">
        <v>84</v>
      </c>
      <c r="O61" s="6" t="s">
        <v>110</v>
      </c>
      <c r="P61" s="6" t="n">
        <v>5</v>
      </c>
      <c r="Q61" s="6" t="n">
        <v>4</v>
      </c>
      <c r="R61" s="6" t="s">
        <v>514</v>
      </c>
      <c r="S61" s="6" t="s">
        <v>515</v>
      </c>
      <c r="T61" s="6" t="s">
        <v>516</v>
      </c>
      <c r="U61" s="6" t="s">
        <v>54</v>
      </c>
      <c r="V61" s="6" t="s">
        <v>517</v>
      </c>
      <c r="W61" s="6" t="s">
        <v>56</v>
      </c>
      <c r="X61" s="6"/>
      <c r="Y61" s="6"/>
    </row>
    <row r="62" customFormat="false" ht="68.65" hidden="false" customHeight="false" outlineLevel="0" collapsed="false">
      <c r="A62" s="6" t="n">
        <v>61</v>
      </c>
      <c r="B62" s="7" t="b">
        <f aca="false">FALSE()</f>
        <v>0</v>
      </c>
      <c r="C62" s="8"/>
      <c r="D62" s="8"/>
      <c r="E62" s="8"/>
      <c r="F62" s="6" t="s">
        <v>518</v>
      </c>
      <c r="G62" s="6" t="s">
        <v>519</v>
      </c>
      <c r="H62" s="6" t="s">
        <v>520</v>
      </c>
      <c r="I62" s="6" t="s">
        <v>499</v>
      </c>
      <c r="J62" s="7" t="b">
        <f aca="false">TRUE()</f>
        <v>1</v>
      </c>
      <c r="K62" s="7" t="b">
        <f aca="false">FALSE()</f>
        <v>0</v>
      </c>
      <c r="L62" s="6"/>
      <c r="M62" s="6" t="s">
        <v>83</v>
      </c>
      <c r="N62" s="6" t="s">
        <v>84</v>
      </c>
      <c r="O62" s="6" t="s">
        <v>159</v>
      </c>
      <c r="P62" s="6" t="n">
        <v>5</v>
      </c>
      <c r="Q62" s="6" t="n">
        <v>4</v>
      </c>
      <c r="R62" s="6" t="s">
        <v>521</v>
      </c>
      <c r="S62" s="6" t="s">
        <v>522</v>
      </c>
      <c r="T62" s="6" t="s">
        <v>523</v>
      </c>
      <c r="U62" s="6" t="s">
        <v>54</v>
      </c>
      <c r="V62" s="6" t="s">
        <v>524</v>
      </c>
      <c r="W62" s="6" t="s">
        <v>56</v>
      </c>
      <c r="X62" s="6"/>
      <c r="Y62" s="6"/>
    </row>
    <row r="63" customFormat="false" ht="57.45" hidden="false" customHeight="false" outlineLevel="0" collapsed="false">
      <c r="A63" s="6" t="n">
        <v>62</v>
      </c>
      <c r="B63" s="7" t="b">
        <f aca="false">FALSE()</f>
        <v>0</v>
      </c>
      <c r="C63" s="8"/>
      <c r="D63" s="8"/>
      <c r="E63" s="8"/>
      <c r="F63" s="6" t="s">
        <v>525</v>
      </c>
      <c r="G63" s="6" t="s">
        <v>526</v>
      </c>
      <c r="H63" s="6" t="s">
        <v>526</v>
      </c>
      <c r="I63" s="6" t="s">
        <v>499</v>
      </c>
      <c r="J63" s="7" t="b">
        <f aca="false">TRUE()</f>
        <v>1</v>
      </c>
      <c r="K63" s="7" t="b">
        <f aca="false">TRUE()</f>
        <v>1</v>
      </c>
      <c r="L63" s="6"/>
      <c r="M63" s="6" t="s">
        <v>62</v>
      </c>
      <c r="N63" s="6" t="s">
        <v>63</v>
      </c>
      <c r="O63" s="6" t="s">
        <v>50</v>
      </c>
      <c r="P63" s="6" t="n">
        <v>5</v>
      </c>
      <c r="Q63" s="6" t="n">
        <v>5</v>
      </c>
      <c r="R63" s="6" t="s">
        <v>527</v>
      </c>
      <c r="S63" s="6" t="s">
        <v>528</v>
      </c>
      <c r="T63" s="6" t="s">
        <v>529</v>
      </c>
      <c r="U63" s="6" t="s">
        <v>54</v>
      </c>
      <c r="V63" s="6" t="s">
        <v>530</v>
      </c>
      <c r="W63" s="6" t="s">
        <v>56</v>
      </c>
      <c r="X63" s="6"/>
      <c r="Y63" s="6"/>
    </row>
    <row r="64" customFormat="false" ht="102.2" hidden="false" customHeight="false" outlineLevel="0" collapsed="false">
      <c r="A64" s="6" t="n">
        <v>63</v>
      </c>
      <c r="B64" s="7" t="b">
        <f aca="false">FALSE()</f>
        <v>0</v>
      </c>
      <c r="C64" s="8"/>
      <c r="D64" s="8"/>
      <c r="E64" s="8"/>
      <c r="F64" s="6" t="s">
        <v>531</v>
      </c>
      <c r="G64" s="6" t="s">
        <v>532</v>
      </c>
      <c r="H64" s="6" t="s">
        <v>533</v>
      </c>
      <c r="I64" s="6" t="s">
        <v>534</v>
      </c>
      <c r="J64" s="7" t="b">
        <f aca="false">TRUE()</f>
        <v>1</v>
      </c>
      <c r="K64" s="7" t="b">
        <f aca="false">TRUE()</f>
        <v>1</v>
      </c>
      <c r="L64" s="6"/>
      <c r="M64" s="6" t="s">
        <v>73</v>
      </c>
      <c r="N64" s="6" t="s">
        <v>63</v>
      </c>
      <c r="O64" s="6" t="s">
        <v>101</v>
      </c>
      <c r="P64" s="6" t="n">
        <v>4</v>
      </c>
      <c r="Q64" s="6" t="n">
        <v>3</v>
      </c>
      <c r="R64" s="6" t="s">
        <v>535</v>
      </c>
      <c r="S64" s="6" t="s">
        <v>536</v>
      </c>
      <c r="T64" s="6" t="s">
        <v>537</v>
      </c>
      <c r="U64" s="6" t="s">
        <v>54</v>
      </c>
      <c r="V64" s="6" t="s">
        <v>538</v>
      </c>
      <c r="W64" s="6" t="s">
        <v>190</v>
      </c>
      <c r="X64" s="6" t="s">
        <v>401</v>
      </c>
      <c r="Y64" s="6" t="s">
        <v>539</v>
      </c>
    </row>
    <row r="65" customFormat="false" ht="91" hidden="false" customHeight="false" outlineLevel="0" collapsed="false">
      <c r="A65" s="6" t="n">
        <v>64</v>
      </c>
      <c r="B65" s="7" t="b">
        <f aca="false">FALSE()</f>
        <v>0</v>
      </c>
      <c r="C65" s="8"/>
      <c r="D65" s="8"/>
      <c r="E65" s="8"/>
      <c r="F65" s="6" t="s">
        <v>540</v>
      </c>
      <c r="G65" s="6" t="s">
        <v>541</v>
      </c>
      <c r="H65" s="6" t="s">
        <v>542</v>
      </c>
      <c r="I65" s="6" t="s">
        <v>534</v>
      </c>
      <c r="J65" s="7" t="b">
        <f aca="false">TRUE()</f>
        <v>1</v>
      </c>
      <c r="K65" s="7" t="b">
        <f aca="false">FALSE()</f>
        <v>0</v>
      </c>
      <c r="L65" s="6"/>
      <c r="M65" s="6" t="s">
        <v>83</v>
      </c>
      <c r="N65" s="6" t="s">
        <v>84</v>
      </c>
      <c r="O65" s="6" t="s">
        <v>101</v>
      </c>
      <c r="P65" s="6" t="n">
        <v>4</v>
      </c>
      <c r="Q65" s="6" t="n">
        <v>4</v>
      </c>
      <c r="R65" s="6" t="s">
        <v>543</v>
      </c>
      <c r="S65" s="6" t="s">
        <v>544</v>
      </c>
      <c r="T65" s="6" t="s">
        <v>545</v>
      </c>
      <c r="U65" s="6" t="s">
        <v>54</v>
      </c>
      <c r="V65" s="6" t="s">
        <v>546</v>
      </c>
      <c r="W65" s="6" t="s">
        <v>56</v>
      </c>
      <c r="X65" s="6"/>
      <c r="Y65" s="6"/>
    </row>
    <row r="66" customFormat="false" ht="79.85" hidden="false" customHeight="false" outlineLevel="0" collapsed="false">
      <c r="A66" s="6" t="n">
        <v>65</v>
      </c>
      <c r="B66" s="7" t="b">
        <f aca="false">FALSE()</f>
        <v>0</v>
      </c>
      <c r="C66" s="8"/>
      <c r="D66" s="8"/>
      <c r="E66" s="8"/>
      <c r="F66" s="6" t="s">
        <v>547</v>
      </c>
      <c r="G66" s="6" t="s">
        <v>548</v>
      </c>
      <c r="H66" s="6" t="s">
        <v>549</v>
      </c>
      <c r="I66" s="6" t="s">
        <v>534</v>
      </c>
      <c r="J66" s="7" t="b">
        <f aca="false">TRUE()</f>
        <v>1</v>
      </c>
      <c r="K66" s="7" t="b">
        <f aca="false">TRUE()</f>
        <v>1</v>
      </c>
      <c r="L66" s="6"/>
      <c r="M66" s="6" t="s">
        <v>48</v>
      </c>
      <c r="N66" s="6" t="s">
        <v>49</v>
      </c>
      <c r="O66" s="6" t="s">
        <v>101</v>
      </c>
      <c r="P66" s="6" t="n">
        <v>5</v>
      </c>
      <c r="Q66" s="6" t="n">
        <v>3</v>
      </c>
      <c r="R66" s="6" t="s">
        <v>550</v>
      </c>
      <c r="S66" s="6" t="s">
        <v>551</v>
      </c>
      <c r="T66" s="6" t="s">
        <v>552</v>
      </c>
      <c r="U66" s="6" t="s">
        <v>54</v>
      </c>
      <c r="V66" s="6" t="s">
        <v>553</v>
      </c>
      <c r="W66" s="6" t="s">
        <v>400</v>
      </c>
      <c r="X66" s="6" t="s">
        <v>191</v>
      </c>
      <c r="Y66" s="6" t="s">
        <v>554</v>
      </c>
    </row>
    <row r="67" customFormat="false" ht="91" hidden="false" customHeight="false" outlineLevel="0" collapsed="false">
      <c r="A67" s="6" t="n">
        <v>66</v>
      </c>
      <c r="B67" s="7" t="b">
        <f aca="false">FALSE()</f>
        <v>0</v>
      </c>
      <c r="C67" s="8"/>
      <c r="D67" s="8"/>
      <c r="E67" s="8"/>
      <c r="F67" s="6" t="s">
        <v>555</v>
      </c>
      <c r="G67" s="6" t="s">
        <v>556</v>
      </c>
      <c r="H67" s="6" t="s">
        <v>557</v>
      </c>
      <c r="I67" s="6" t="s">
        <v>534</v>
      </c>
      <c r="J67" s="7" t="b">
        <f aca="false">TRUE()</f>
        <v>1</v>
      </c>
      <c r="K67" s="7" t="b">
        <f aca="false">FALSE()</f>
        <v>0</v>
      </c>
      <c r="L67" s="6"/>
      <c r="M67" s="6" t="s">
        <v>62</v>
      </c>
      <c r="N67" s="6" t="s">
        <v>63</v>
      </c>
      <c r="O67" s="6" t="s">
        <v>110</v>
      </c>
      <c r="P67" s="6" t="n">
        <v>5</v>
      </c>
      <c r="Q67" s="6" t="n">
        <v>3</v>
      </c>
      <c r="R67" s="6" t="s">
        <v>558</v>
      </c>
      <c r="S67" s="6" t="s">
        <v>559</v>
      </c>
      <c r="T67" s="6" t="s">
        <v>560</v>
      </c>
      <c r="U67" s="6" t="s">
        <v>54</v>
      </c>
      <c r="V67" s="6" t="s">
        <v>561</v>
      </c>
      <c r="W67" s="6" t="s">
        <v>56</v>
      </c>
      <c r="X67" s="6"/>
      <c r="Y67" s="6"/>
    </row>
    <row r="68" customFormat="false" ht="79.85" hidden="false" customHeight="false" outlineLevel="0" collapsed="false">
      <c r="A68" s="6" t="n">
        <v>67</v>
      </c>
      <c r="B68" s="7" t="b">
        <f aca="false">FALSE()</f>
        <v>0</v>
      </c>
      <c r="C68" s="8"/>
      <c r="D68" s="8"/>
      <c r="E68" s="8"/>
      <c r="F68" s="6" t="s">
        <v>562</v>
      </c>
      <c r="G68" s="6" t="s">
        <v>563</v>
      </c>
      <c r="H68" s="6" t="s">
        <v>564</v>
      </c>
      <c r="I68" s="6" t="s">
        <v>158</v>
      </c>
      <c r="J68" s="7" t="b">
        <f aca="false">TRUE()</f>
        <v>1</v>
      </c>
      <c r="K68" s="7" t="b">
        <f aca="false">FALSE()</f>
        <v>0</v>
      </c>
      <c r="L68" s="6"/>
      <c r="M68" s="6" t="s">
        <v>62</v>
      </c>
      <c r="N68" s="6" t="s">
        <v>63</v>
      </c>
      <c r="O68" s="6" t="s">
        <v>159</v>
      </c>
      <c r="P68" s="6" t="n">
        <v>5</v>
      </c>
      <c r="Q68" s="6" t="n">
        <v>5</v>
      </c>
      <c r="R68" s="6" t="s">
        <v>565</v>
      </c>
      <c r="S68" s="6" t="s">
        <v>566</v>
      </c>
      <c r="T68" s="6" t="s">
        <v>567</v>
      </c>
      <c r="U68" s="6" t="s">
        <v>163</v>
      </c>
      <c r="V68" s="6" t="s">
        <v>568</v>
      </c>
      <c r="W68" s="6" t="s">
        <v>56</v>
      </c>
      <c r="X68" s="6"/>
      <c r="Y68" s="6"/>
    </row>
    <row r="69" customFormat="false" ht="79.85" hidden="false" customHeight="false" outlineLevel="0" collapsed="false">
      <c r="A69" s="6" t="n">
        <v>68</v>
      </c>
      <c r="B69" s="7" t="b">
        <f aca="false">FALSE()</f>
        <v>0</v>
      </c>
      <c r="C69" s="8"/>
      <c r="D69" s="8"/>
      <c r="E69" s="8"/>
      <c r="F69" s="6" t="s">
        <v>569</v>
      </c>
      <c r="G69" s="6" t="s">
        <v>570</v>
      </c>
      <c r="H69" s="6" t="s">
        <v>571</v>
      </c>
      <c r="I69" s="6" t="s">
        <v>158</v>
      </c>
      <c r="J69" s="7" t="b">
        <f aca="false">TRUE()</f>
        <v>1</v>
      </c>
      <c r="K69" s="7" t="b">
        <f aca="false">FALSE()</f>
        <v>0</v>
      </c>
      <c r="L69" s="6"/>
      <c r="M69" s="6" t="s">
        <v>62</v>
      </c>
      <c r="N69" s="6" t="s">
        <v>63</v>
      </c>
      <c r="O69" s="6" t="s">
        <v>159</v>
      </c>
      <c r="P69" s="6" t="n">
        <v>5</v>
      </c>
      <c r="Q69" s="6" t="n">
        <v>4</v>
      </c>
      <c r="R69" s="6" t="s">
        <v>572</v>
      </c>
      <c r="S69" s="6" t="s">
        <v>573</v>
      </c>
      <c r="T69" s="6" t="s">
        <v>574</v>
      </c>
      <c r="U69" s="6" t="s">
        <v>163</v>
      </c>
      <c r="V69" s="6" t="s">
        <v>575</v>
      </c>
      <c r="W69" s="6" t="s">
        <v>56</v>
      </c>
      <c r="X69" s="6"/>
      <c r="Y69" s="6"/>
    </row>
    <row r="70" customFormat="false" ht="79.85" hidden="false" customHeight="false" outlineLevel="0" collapsed="false">
      <c r="A70" s="6" t="n">
        <v>69</v>
      </c>
      <c r="B70" s="7" t="b">
        <f aca="false">FALSE()</f>
        <v>0</v>
      </c>
      <c r="C70" s="8"/>
      <c r="D70" s="8"/>
      <c r="E70" s="8"/>
      <c r="F70" s="6" t="s">
        <v>576</v>
      </c>
      <c r="G70" s="6" t="s">
        <v>577</v>
      </c>
      <c r="H70" s="6" t="s">
        <v>578</v>
      </c>
      <c r="I70" s="6" t="s">
        <v>158</v>
      </c>
      <c r="J70" s="7" t="b">
        <f aca="false">TRUE()</f>
        <v>1</v>
      </c>
      <c r="K70" s="7" t="b">
        <f aca="false">FALSE()</f>
        <v>0</v>
      </c>
      <c r="L70" s="6"/>
      <c r="M70" s="6" t="s">
        <v>73</v>
      </c>
      <c r="N70" s="6" t="s">
        <v>49</v>
      </c>
      <c r="O70" s="6" t="s">
        <v>159</v>
      </c>
      <c r="P70" s="6" t="n">
        <v>5</v>
      </c>
      <c r="Q70" s="6" t="n">
        <v>4</v>
      </c>
      <c r="R70" s="6" t="s">
        <v>579</v>
      </c>
      <c r="S70" s="6" t="s">
        <v>580</v>
      </c>
      <c r="T70" s="6" t="s">
        <v>581</v>
      </c>
      <c r="U70" s="6" t="s">
        <v>163</v>
      </c>
      <c r="V70" s="6" t="s">
        <v>582</v>
      </c>
      <c r="W70" s="6" t="s">
        <v>56</v>
      </c>
      <c r="X70" s="6"/>
      <c r="Y70" s="6"/>
    </row>
    <row r="71" customFormat="false" ht="79.85" hidden="false" customHeight="false" outlineLevel="0" collapsed="false">
      <c r="A71" s="6" t="n">
        <v>70</v>
      </c>
      <c r="B71" s="7" t="b">
        <f aca="false">FALSE()</f>
        <v>0</v>
      </c>
      <c r="C71" s="8"/>
      <c r="D71" s="8"/>
      <c r="E71" s="8"/>
      <c r="F71" s="6" t="s">
        <v>583</v>
      </c>
      <c r="G71" s="6" t="s">
        <v>584</v>
      </c>
      <c r="H71" s="6" t="s">
        <v>585</v>
      </c>
      <c r="I71" s="6" t="s">
        <v>158</v>
      </c>
      <c r="J71" s="7" t="b">
        <f aca="false">TRUE()</f>
        <v>1</v>
      </c>
      <c r="K71" s="7" t="b">
        <f aca="false">FALSE()</f>
        <v>0</v>
      </c>
      <c r="L71" s="6"/>
      <c r="M71" s="6" t="s">
        <v>48</v>
      </c>
      <c r="N71" s="6" t="s">
        <v>49</v>
      </c>
      <c r="O71" s="6" t="s">
        <v>159</v>
      </c>
      <c r="P71" s="6" t="n">
        <v>5</v>
      </c>
      <c r="Q71" s="6" t="n">
        <v>4</v>
      </c>
      <c r="R71" s="6" t="s">
        <v>586</v>
      </c>
      <c r="S71" s="6" t="s">
        <v>587</v>
      </c>
      <c r="T71" s="6" t="s">
        <v>588</v>
      </c>
      <c r="U71" s="6" t="s">
        <v>163</v>
      </c>
      <c r="V71" s="6" t="s">
        <v>589</v>
      </c>
      <c r="W71" s="6" t="s">
        <v>56</v>
      </c>
      <c r="X71" s="6"/>
      <c r="Y71" s="6"/>
    </row>
    <row r="72" customFormat="false" ht="57.45" hidden="false" customHeight="false" outlineLevel="0" collapsed="false">
      <c r="A72" s="6" t="n">
        <v>71</v>
      </c>
      <c r="B72" s="7" t="b">
        <f aca="false">FALSE()</f>
        <v>0</v>
      </c>
      <c r="C72" s="8"/>
      <c r="D72" s="8"/>
      <c r="E72" s="8"/>
      <c r="F72" s="6" t="s">
        <v>590</v>
      </c>
      <c r="G72" s="6" t="s">
        <v>591</v>
      </c>
      <c r="H72" s="6" t="s">
        <v>592</v>
      </c>
      <c r="I72" s="6" t="s">
        <v>593</v>
      </c>
      <c r="J72" s="7" t="b">
        <f aca="false">TRUE()</f>
        <v>1</v>
      </c>
      <c r="K72" s="7" t="b">
        <f aca="false">FALSE()</f>
        <v>0</v>
      </c>
      <c r="L72" s="6"/>
      <c r="M72" s="6" t="s">
        <v>48</v>
      </c>
      <c r="N72" s="6" t="s">
        <v>49</v>
      </c>
      <c r="O72" s="6" t="s">
        <v>150</v>
      </c>
      <c r="P72" s="6" t="n">
        <v>5</v>
      </c>
      <c r="Q72" s="6" t="n">
        <v>4</v>
      </c>
      <c r="R72" s="6" t="s">
        <v>594</v>
      </c>
      <c r="S72" s="6" t="s">
        <v>595</v>
      </c>
      <c r="T72" s="6" t="s">
        <v>596</v>
      </c>
      <c r="U72" s="6" t="s">
        <v>597</v>
      </c>
      <c r="V72" s="6" t="s">
        <v>598</v>
      </c>
      <c r="W72" s="6" t="s">
        <v>56</v>
      </c>
      <c r="X72" s="6"/>
      <c r="Y72" s="6"/>
    </row>
    <row r="73" customFormat="false" ht="91" hidden="false" customHeight="false" outlineLevel="0" collapsed="false">
      <c r="A73" s="6" t="n">
        <v>72</v>
      </c>
      <c r="B73" s="7" t="b">
        <f aca="false">FALSE()</f>
        <v>0</v>
      </c>
      <c r="C73" s="8"/>
      <c r="D73" s="8"/>
      <c r="E73" s="8"/>
      <c r="F73" s="6" t="s">
        <v>599</v>
      </c>
      <c r="G73" s="6" t="s">
        <v>600</v>
      </c>
      <c r="H73" s="6" t="s">
        <v>601</v>
      </c>
      <c r="I73" s="6" t="s">
        <v>593</v>
      </c>
      <c r="J73" s="7" t="b">
        <f aca="false">TRUE()</f>
        <v>1</v>
      </c>
      <c r="K73" s="7" t="b">
        <f aca="false">FALSE()</f>
        <v>0</v>
      </c>
      <c r="L73" s="6"/>
      <c r="M73" s="6" t="s">
        <v>83</v>
      </c>
      <c r="N73" s="6" t="s">
        <v>84</v>
      </c>
      <c r="O73" s="6" t="s">
        <v>110</v>
      </c>
      <c r="P73" s="6" t="n">
        <v>5</v>
      </c>
      <c r="Q73" s="6" t="n">
        <v>4</v>
      </c>
      <c r="R73" s="6" t="s">
        <v>602</v>
      </c>
      <c r="S73" s="6" t="s">
        <v>603</v>
      </c>
      <c r="T73" s="6" t="s">
        <v>604</v>
      </c>
      <c r="U73" s="6" t="s">
        <v>597</v>
      </c>
      <c r="V73" s="6" t="s">
        <v>605</v>
      </c>
      <c r="W73" s="6" t="s">
        <v>56</v>
      </c>
      <c r="X73" s="6"/>
      <c r="Y73" s="6"/>
    </row>
    <row r="74" customFormat="false" ht="57.45" hidden="false" customHeight="false" outlineLevel="0" collapsed="false">
      <c r="A74" s="6" t="n">
        <v>73</v>
      </c>
      <c r="B74" s="7" t="b">
        <f aca="false">FALSE()</f>
        <v>0</v>
      </c>
      <c r="C74" s="8"/>
      <c r="D74" s="8"/>
      <c r="E74" s="8"/>
      <c r="F74" s="6" t="s">
        <v>606</v>
      </c>
      <c r="G74" s="6" t="s">
        <v>607</v>
      </c>
      <c r="H74" s="6" t="s">
        <v>607</v>
      </c>
      <c r="I74" s="6" t="s">
        <v>593</v>
      </c>
      <c r="J74" s="7" t="b">
        <f aca="false">TRUE()</f>
        <v>1</v>
      </c>
      <c r="K74" s="7" t="b">
        <f aca="false">FALSE()</f>
        <v>0</v>
      </c>
      <c r="L74" s="6"/>
      <c r="M74" s="6" t="s">
        <v>73</v>
      </c>
      <c r="N74" s="6" t="s">
        <v>63</v>
      </c>
      <c r="O74" s="6" t="s">
        <v>64</v>
      </c>
      <c r="P74" s="6" t="n">
        <v>5</v>
      </c>
      <c r="Q74" s="6" t="n">
        <v>4</v>
      </c>
      <c r="R74" s="6" t="s">
        <v>608</v>
      </c>
      <c r="S74" s="6" t="s">
        <v>609</v>
      </c>
      <c r="T74" s="6" t="s">
        <v>610</v>
      </c>
      <c r="U74" s="6" t="s">
        <v>597</v>
      </c>
      <c r="V74" s="6" t="s">
        <v>611</v>
      </c>
      <c r="W74" s="6" t="s">
        <v>56</v>
      </c>
      <c r="X74" s="6"/>
      <c r="Y74" s="6"/>
    </row>
    <row r="75" customFormat="false" ht="79.85" hidden="false" customHeight="false" outlineLevel="0" collapsed="false">
      <c r="A75" s="6" t="n">
        <v>74</v>
      </c>
      <c r="B75" s="7" t="b">
        <f aca="false">FALSE()</f>
        <v>0</v>
      </c>
      <c r="C75" s="8"/>
      <c r="D75" s="8"/>
      <c r="E75" s="8"/>
      <c r="F75" s="6" t="s">
        <v>612</v>
      </c>
      <c r="G75" s="6" t="s">
        <v>613</v>
      </c>
      <c r="H75" s="6" t="s">
        <v>613</v>
      </c>
      <c r="I75" s="6" t="s">
        <v>593</v>
      </c>
      <c r="J75" s="7" t="b">
        <f aca="false">TRUE()</f>
        <v>1</v>
      </c>
      <c r="K75" s="7" t="b">
        <f aca="false">FALSE()</f>
        <v>0</v>
      </c>
      <c r="L75" s="6"/>
      <c r="M75" s="6" t="s">
        <v>48</v>
      </c>
      <c r="N75" s="6" t="s">
        <v>49</v>
      </c>
      <c r="O75" s="6" t="s">
        <v>118</v>
      </c>
      <c r="P75" s="6" t="n">
        <v>5</v>
      </c>
      <c r="Q75" s="6" t="n">
        <v>4</v>
      </c>
      <c r="R75" s="6" t="s">
        <v>614</v>
      </c>
      <c r="S75" s="6" t="s">
        <v>615</v>
      </c>
      <c r="T75" s="6" t="s">
        <v>616</v>
      </c>
      <c r="U75" s="6" t="s">
        <v>597</v>
      </c>
      <c r="V75" s="6" t="s">
        <v>617</v>
      </c>
      <c r="W75" s="6" t="s">
        <v>56</v>
      </c>
      <c r="X75" s="6"/>
      <c r="Y75" s="6"/>
    </row>
    <row r="76" customFormat="false" ht="79.85" hidden="false" customHeight="false" outlineLevel="0" collapsed="false">
      <c r="A76" s="6" t="n">
        <v>75</v>
      </c>
      <c r="B76" s="7" t="b">
        <f aca="false">FALSE()</f>
        <v>0</v>
      </c>
      <c r="C76" s="8"/>
      <c r="D76" s="8"/>
      <c r="E76" s="8"/>
      <c r="F76" s="6" t="s">
        <v>618</v>
      </c>
      <c r="G76" s="6" t="s">
        <v>619</v>
      </c>
      <c r="H76" s="6" t="s">
        <v>620</v>
      </c>
      <c r="I76" s="6" t="s">
        <v>593</v>
      </c>
      <c r="J76" s="7" t="b">
        <f aca="false">TRUE()</f>
        <v>1</v>
      </c>
      <c r="K76" s="7" t="b">
        <f aca="false">FALSE()</f>
        <v>0</v>
      </c>
      <c r="L76" s="6"/>
      <c r="M76" s="6" t="s">
        <v>73</v>
      </c>
      <c r="N76" s="6" t="s">
        <v>49</v>
      </c>
      <c r="O76" s="6" t="s">
        <v>74</v>
      </c>
      <c r="P76" s="6" t="n">
        <v>5</v>
      </c>
      <c r="Q76" s="6" t="n">
        <v>4</v>
      </c>
      <c r="R76" s="6" t="s">
        <v>621</v>
      </c>
      <c r="S76" s="6" t="s">
        <v>622</v>
      </c>
      <c r="T76" s="6" t="s">
        <v>623</v>
      </c>
      <c r="U76" s="6" t="s">
        <v>597</v>
      </c>
      <c r="V76" s="6" t="s">
        <v>624</v>
      </c>
      <c r="W76" s="6" t="s">
        <v>56</v>
      </c>
      <c r="X76" s="6"/>
      <c r="Y76" s="6"/>
    </row>
    <row r="77" customFormat="false" ht="102.2" hidden="false" customHeight="false" outlineLevel="0" collapsed="false">
      <c r="A77" s="6" t="n">
        <v>76</v>
      </c>
      <c r="B77" s="7" t="b">
        <f aca="false">FALSE()</f>
        <v>0</v>
      </c>
      <c r="C77" s="8"/>
      <c r="D77" s="8"/>
      <c r="E77" s="8"/>
      <c r="F77" s="6" t="s">
        <v>625</v>
      </c>
      <c r="G77" s="6" t="s">
        <v>626</v>
      </c>
      <c r="H77" s="6" t="s">
        <v>627</v>
      </c>
      <c r="I77" s="6" t="s">
        <v>628</v>
      </c>
      <c r="J77" s="7" t="b">
        <f aca="false">TRUE()</f>
        <v>1</v>
      </c>
      <c r="K77" s="7" t="b">
        <f aca="false">FALSE()</f>
        <v>0</v>
      </c>
      <c r="L77" s="6"/>
      <c r="M77" s="6" t="s">
        <v>73</v>
      </c>
      <c r="N77" s="6" t="s">
        <v>49</v>
      </c>
      <c r="O77" s="6" t="s">
        <v>110</v>
      </c>
      <c r="P77" s="6" t="n">
        <v>5</v>
      </c>
      <c r="Q77" s="6" t="n">
        <v>3</v>
      </c>
      <c r="R77" s="6" t="s">
        <v>629</v>
      </c>
      <c r="S77" s="6" t="s">
        <v>630</v>
      </c>
      <c r="T77" s="6" t="s">
        <v>631</v>
      </c>
      <c r="U77" s="6" t="s">
        <v>172</v>
      </c>
      <c r="V77" s="6" t="s">
        <v>632</v>
      </c>
      <c r="W77" s="6" t="s">
        <v>56</v>
      </c>
      <c r="X77" s="6"/>
      <c r="Y77" s="6"/>
    </row>
    <row r="78" customFormat="false" ht="79.85" hidden="false" customHeight="false" outlineLevel="0" collapsed="false">
      <c r="A78" s="6" t="n">
        <v>77</v>
      </c>
      <c r="B78" s="7" t="b">
        <f aca="false">FALSE()</f>
        <v>0</v>
      </c>
      <c r="C78" s="8"/>
      <c r="D78" s="8"/>
      <c r="E78" s="8"/>
      <c r="F78" s="6" t="s">
        <v>633</v>
      </c>
      <c r="G78" s="6" t="s">
        <v>634</v>
      </c>
      <c r="H78" s="6" t="s">
        <v>635</v>
      </c>
      <c r="I78" s="6" t="s">
        <v>636</v>
      </c>
      <c r="J78" s="7" t="b">
        <f aca="false">TRUE()</f>
        <v>1</v>
      </c>
      <c r="K78" s="7" t="b">
        <f aca="false">FALSE()</f>
        <v>0</v>
      </c>
      <c r="L78" s="6"/>
      <c r="M78" s="6" t="s">
        <v>48</v>
      </c>
      <c r="N78" s="6" t="s">
        <v>49</v>
      </c>
      <c r="O78" s="6" t="s">
        <v>101</v>
      </c>
      <c r="P78" s="6" t="n">
        <v>5</v>
      </c>
      <c r="Q78" s="6" t="n">
        <v>3</v>
      </c>
      <c r="R78" s="6" t="s">
        <v>637</v>
      </c>
      <c r="S78" s="6" t="s">
        <v>638</v>
      </c>
      <c r="T78" s="6" t="s">
        <v>639</v>
      </c>
      <c r="U78" s="6" t="s">
        <v>172</v>
      </c>
      <c r="V78" s="6" t="s">
        <v>640</v>
      </c>
      <c r="W78" s="6" t="s">
        <v>56</v>
      </c>
      <c r="X78" s="6"/>
      <c r="Y78" s="6"/>
    </row>
    <row r="79" customFormat="false" ht="102.2" hidden="false" customHeight="false" outlineLevel="0" collapsed="false">
      <c r="A79" s="6" t="n">
        <v>78</v>
      </c>
      <c r="B79" s="7" t="b">
        <f aca="false">FALSE()</f>
        <v>0</v>
      </c>
      <c r="C79" s="8"/>
      <c r="D79" s="8"/>
      <c r="E79" s="8"/>
      <c r="F79" s="6" t="s">
        <v>641</v>
      </c>
      <c r="G79" s="6" t="s">
        <v>642</v>
      </c>
      <c r="H79" s="6" t="s">
        <v>643</v>
      </c>
      <c r="I79" s="6" t="s">
        <v>644</v>
      </c>
      <c r="J79" s="7" t="b">
        <f aca="false">TRUE()</f>
        <v>1</v>
      </c>
      <c r="K79" s="7" t="b">
        <f aca="false">FALSE()</f>
        <v>0</v>
      </c>
      <c r="L79" s="6"/>
      <c r="M79" s="6" t="s">
        <v>83</v>
      </c>
      <c r="N79" s="6" t="s">
        <v>84</v>
      </c>
      <c r="O79" s="6" t="s">
        <v>150</v>
      </c>
      <c r="P79" s="6" t="n">
        <v>5</v>
      </c>
      <c r="Q79" s="6" t="n">
        <v>4</v>
      </c>
      <c r="R79" s="6" t="s">
        <v>645</v>
      </c>
      <c r="S79" s="6" t="s">
        <v>646</v>
      </c>
      <c r="T79" s="6" t="s">
        <v>647</v>
      </c>
      <c r="U79" s="6" t="s">
        <v>648</v>
      </c>
      <c r="V79" s="6" t="s">
        <v>649</v>
      </c>
      <c r="W79" s="6" t="s">
        <v>56</v>
      </c>
      <c r="X79" s="6"/>
      <c r="Y79" s="6"/>
    </row>
    <row r="80" customFormat="false" ht="79.85" hidden="false" customHeight="false" outlineLevel="0" collapsed="false">
      <c r="A80" s="6" t="n">
        <v>79</v>
      </c>
      <c r="B80" s="7" t="b">
        <f aca="false">FALSE()</f>
        <v>0</v>
      </c>
      <c r="C80" s="8"/>
      <c r="D80" s="8"/>
      <c r="E80" s="8"/>
      <c r="F80" s="6" t="s">
        <v>650</v>
      </c>
      <c r="G80" s="6" t="s">
        <v>651</v>
      </c>
      <c r="H80" s="6" t="s">
        <v>652</v>
      </c>
      <c r="I80" s="6" t="s">
        <v>653</v>
      </c>
      <c r="J80" s="7" t="b">
        <f aca="false">TRUE()</f>
        <v>1</v>
      </c>
      <c r="K80" s="7" t="b">
        <f aca="false">FALSE()</f>
        <v>0</v>
      </c>
      <c r="L80" s="6"/>
      <c r="M80" s="6" t="s">
        <v>62</v>
      </c>
      <c r="N80" s="6" t="s">
        <v>63</v>
      </c>
      <c r="O80" s="6" t="s">
        <v>150</v>
      </c>
      <c r="P80" s="6" t="n">
        <v>5</v>
      </c>
      <c r="Q80" s="6" t="n">
        <v>4</v>
      </c>
      <c r="R80" s="6" t="s">
        <v>654</v>
      </c>
      <c r="S80" s="6" t="s">
        <v>655</v>
      </c>
      <c r="T80" s="6" t="s">
        <v>656</v>
      </c>
      <c r="U80" s="6" t="s">
        <v>648</v>
      </c>
      <c r="V80" s="6" t="s">
        <v>657</v>
      </c>
      <c r="W80" s="6" t="s">
        <v>56</v>
      </c>
      <c r="X80" s="6"/>
      <c r="Y80" s="6"/>
    </row>
    <row r="81" customFormat="false" ht="68.65" hidden="false" customHeight="false" outlineLevel="0" collapsed="false">
      <c r="A81" s="6" t="n">
        <v>80</v>
      </c>
      <c r="B81" s="7" t="b">
        <f aca="false">FALSE()</f>
        <v>0</v>
      </c>
      <c r="C81" s="8"/>
      <c r="D81" s="8"/>
      <c r="E81" s="8"/>
      <c r="F81" s="6" t="s">
        <v>658</v>
      </c>
      <c r="G81" s="6" t="s">
        <v>659</v>
      </c>
      <c r="H81" s="6" t="s">
        <v>660</v>
      </c>
      <c r="I81" s="6" t="s">
        <v>644</v>
      </c>
      <c r="J81" s="7" t="b">
        <f aca="false">TRUE()</f>
        <v>1</v>
      </c>
      <c r="K81" s="7" t="b">
        <f aca="false">FALSE()</f>
        <v>0</v>
      </c>
      <c r="L81" s="6"/>
      <c r="M81" s="6" t="s">
        <v>48</v>
      </c>
      <c r="N81" s="6" t="s">
        <v>49</v>
      </c>
      <c r="O81" s="6" t="s">
        <v>150</v>
      </c>
      <c r="P81" s="6" t="n">
        <v>5</v>
      </c>
      <c r="Q81" s="6" t="n">
        <v>4</v>
      </c>
      <c r="R81" s="6" t="s">
        <v>661</v>
      </c>
      <c r="S81" s="6" t="s">
        <v>662</v>
      </c>
      <c r="T81" s="6" t="s">
        <v>663</v>
      </c>
      <c r="U81" s="6" t="s">
        <v>648</v>
      </c>
      <c r="V81" s="6" t="s">
        <v>664</v>
      </c>
      <c r="W81" s="6" t="s">
        <v>56</v>
      </c>
      <c r="X81" s="6"/>
      <c r="Y81" s="6"/>
    </row>
    <row r="82" customFormat="false" ht="68.65" hidden="false" customHeight="false" outlineLevel="0" collapsed="false">
      <c r="A82" s="6" t="n">
        <v>81</v>
      </c>
      <c r="B82" s="7" t="b">
        <f aca="false">FALSE()</f>
        <v>0</v>
      </c>
      <c r="C82" s="8"/>
      <c r="D82" s="8"/>
      <c r="E82" s="8"/>
      <c r="F82" s="6" t="s">
        <v>665</v>
      </c>
      <c r="G82" s="6" t="s">
        <v>666</v>
      </c>
      <c r="H82" s="6" t="s">
        <v>667</v>
      </c>
      <c r="I82" s="6" t="s">
        <v>653</v>
      </c>
      <c r="J82" s="7" t="b">
        <f aca="false">TRUE()</f>
        <v>1</v>
      </c>
      <c r="K82" s="7" t="b">
        <f aca="false">FALSE()</f>
        <v>0</v>
      </c>
      <c r="L82" s="6"/>
      <c r="M82" s="6" t="s">
        <v>62</v>
      </c>
      <c r="N82" s="6" t="s">
        <v>63</v>
      </c>
      <c r="O82" s="6" t="s">
        <v>110</v>
      </c>
      <c r="P82" s="6" t="n">
        <v>5</v>
      </c>
      <c r="Q82" s="6" t="n">
        <v>4</v>
      </c>
      <c r="R82" s="6" t="s">
        <v>668</v>
      </c>
      <c r="S82" s="6" t="s">
        <v>669</v>
      </c>
      <c r="T82" s="6" t="s">
        <v>670</v>
      </c>
      <c r="U82" s="6" t="s">
        <v>648</v>
      </c>
      <c r="V82" s="6" t="s">
        <v>671</v>
      </c>
      <c r="W82" s="6" t="s">
        <v>56</v>
      </c>
      <c r="X82" s="6"/>
      <c r="Y82" s="6"/>
    </row>
    <row r="83" customFormat="false" ht="79.85" hidden="false" customHeight="false" outlineLevel="0" collapsed="false">
      <c r="A83" s="6" t="n">
        <v>82</v>
      </c>
      <c r="B83" s="7" t="b">
        <f aca="false">FALSE()</f>
        <v>0</v>
      </c>
      <c r="C83" s="8"/>
      <c r="D83" s="8"/>
      <c r="E83" s="8"/>
      <c r="F83" s="6" t="s">
        <v>672</v>
      </c>
      <c r="G83" s="6" t="s">
        <v>673</v>
      </c>
      <c r="H83" s="6" t="s">
        <v>674</v>
      </c>
      <c r="I83" s="6" t="s">
        <v>644</v>
      </c>
      <c r="J83" s="7" t="b">
        <f aca="false">TRUE()</f>
        <v>1</v>
      </c>
      <c r="K83" s="7" t="b">
        <f aca="false">TRUE()</f>
        <v>1</v>
      </c>
      <c r="L83" s="6"/>
      <c r="M83" s="6" t="s">
        <v>73</v>
      </c>
      <c r="N83" s="6" t="s">
        <v>49</v>
      </c>
      <c r="O83" s="6" t="s">
        <v>150</v>
      </c>
      <c r="P83" s="6" t="n">
        <v>5</v>
      </c>
      <c r="Q83" s="6" t="n">
        <v>4</v>
      </c>
      <c r="R83" s="6" t="s">
        <v>675</v>
      </c>
      <c r="S83" s="6" t="s">
        <v>676</v>
      </c>
      <c r="T83" s="6" t="s">
        <v>677</v>
      </c>
      <c r="U83" s="6" t="s">
        <v>648</v>
      </c>
      <c r="V83" s="6" t="s">
        <v>678</v>
      </c>
      <c r="W83" s="6" t="s">
        <v>56</v>
      </c>
      <c r="X83" s="6"/>
      <c r="Y83" s="6"/>
    </row>
    <row r="84" customFormat="false" ht="79.85" hidden="false" customHeight="false" outlineLevel="0" collapsed="false">
      <c r="A84" s="6" t="n">
        <v>83</v>
      </c>
      <c r="B84" s="7" t="b">
        <f aca="false">FALSE()</f>
        <v>0</v>
      </c>
      <c r="C84" s="8"/>
      <c r="D84" s="8"/>
      <c r="E84" s="8"/>
      <c r="F84" s="6" t="s">
        <v>679</v>
      </c>
      <c r="G84" s="6" t="s">
        <v>680</v>
      </c>
      <c r="H84" s="6" t="s">
        <v>681</v>
      </c>
      <c r="I84" s="6" t="s">
        <v>682</v>
      </c>
      <c r="J84" s="7" t="b">
        <f aca="false">TRUE()</f>
        <v>1</v>
      </c>
      <c r="K84" s="7" t="b">
        <f aca="false">TRUE()</f>
        <v>1</v>
      </c>
      <c r="L84" s="6"/>
      <c r="M84" s="6" t="s">
        <v>48</v>
      </c>
      <c r="N84" s="6" t="s">
        <v>49</v>
      </c>
      <c r="O84" s="6" t="s">
        <v>159</v>
      </c>
      <c r="P84" s="6" t="n">
        <v>5</v>
      </c>
      <c r="Q84" s="6" t="n">
        <v>4</v>
      </c>
      <c r="R84" s="6" t="s">
        <v>683</v>
      </c>
      <c r="S84" s="6" t="s">
        <v>684</v>
      </c>
      <c r="T84" s="6" t="s">
        <v>685</v>
      </c>
      <c r="U84" s="6" t="s">
        <v>163</v>
      </c>
      <c r="V84" s="6" t="s">
        <v>686</v>
      </c>
      <c r="W84" s="6" t="s">
        <v>56</v>
      </c>
      <c r="X84" s="6"/>
      <c r="Y84" s="6"/>
    </row>
    <row r="85" customFormat="false" ht="68.65" hidden="false" customHeight="false" outlineLevel="0" collapsed="false">
      <c r="A85" s="6" t="n">
        <v>84</v>
      </c>
      <c r="B85" s="7" t="b">
        <f aca="false">FALSE()</f>
        <v>0</v>
      </c>
      <c r="C85" s="8"/>
      <c r="D85" s="8"/>
      <c r="E85" s="8"/>
      <c r="F85" s="6" t="s">
        <v>687</v>
      </c>
      <c r="G85" s="6" t="s">
        <v>688</v>
      </c>
      <c r="H85" s="6" t="s">
        <v>689</v>
      </c>
      <c r="I85" s="6" t="s">
        <v>682</v>
      </c>
      <c r="J85" s="7" t="b">
        <f aca="false">TRUE()</f>
        <v>1</v>
      </c>
      <c r="K85" s="7" t="b">
        <f aca="false">FALSE()</f>
        <v>0</v>
      </c>
      <c r="L85" s="6"/>
      <c r="M85" s="6" t="s">
        <v>73</v>
      </c>
      <c r="N85" s="6" t="s">
        <v>49</v>
      </c>
      <c r="O85" s="6" t="s">
        <v>110</v>
      </c>
      <c r="P85" s="6" t="n">
        <v>5</v>
      </c>
      <c r="Q85" s="6" t="n">
        <v>4</v>
      </c>
      <c r="R85" s="6" t="s">
        <v>690</v>
      </c>
      <c r="S85" s="6" t="s">
        <v>691</v>
      </c>
      <c r="T85" s="6" t="s">
        <v>692</v>
      </c>
      <c r="U85" s="6" t="s">
        <v>163</v>
      </c>
      <c r="V85" s="6" t="s">
        <v>693</v>
      </c>
      <c r="W85" s="6" t="s">
        <v>56</v>
      </c>
      <c r="X85" s="6"/>
      <c r="Y85" s="6"/>
    </row>
    <row r="86" customFormat="false" ht="124.6" hidden="false" customHeight="false" outlineLevel="0" collapsed="false">
      <c r="A86" s="6" t="n">
        <v>85</v>
      </c>
      <c r="B86" s="7" t="b">
        <f aca="false">FALSE()</f>
        <v>0</v>
      </c>
      <c r="C86" s="8"/>
      <c r="D86" s="8"/>
      <c r="E86" s="8"/>
      <c r="F86" s="6" t="s">
        <v>694</v>
      </c>
      <c r="G86" s="6" t="s">
        <v>695</v>
      </c>
      <c r="H86" s="6" t="s">
        <v>696</v>
      </c>
      <c r="I86" s="6" t="s">
        <v>682</v>
      </c>
      <c r="J86" s="7" t="b">
        <f aca="false">TRUE()</f>
        <v>1</v>
      </c>
      <c r="K86" s="7" t="b">
        <f aca="false">FALSE()</f>
        <v>0</v>
      </c>
      <c r="L86" s="6"/>
      <c r="M86" s="6" t="s">
        <v>83</v>
      </c>
      <c r="N86" s="6" t="s">
        <v>84</v>
      </c>
      <c r="O86" s="6" t="s">
        <v>74</v>
      </c>
      <c r="P86" s="6" t="n">
        <v>4</v>
      </c>
      <c r="Q86" s="6" t="n">
        <v>4</v>
      </c>
      <c r="R86" s="6" t="s">
        <v>697</v>
      </c>
      <c r="S86" s="6" t="s">
        <v>698</v>
      </c>
      <c r="T86" s="6" t="s">
        <v>699</v>
      </c>
      <c r="U86" s="6" t="s">
        <v>163</v>
      </c>
      <c r="V86" s="6" t="s">
        <v>700</v>
      </c>
      <c r="W86" s="6" t="s">
        <v>56</v>
      </c>
      <c r="X86" s="6"/>
      <c r="Y86" s="6"/>
    </row>
    <row r="87" customFormat="false" ht="91" hidden="false" customHeight="false" outlineLevel="0" collapsed="false">
      <c r="A87" s="6" t="n">
        <v>86</v>
      </c>
      <c r="B87" s="7" t="b">
        <f aca="false">FALSE()</f>
        <v>0</v>
      </c>
      <c r="C87" s="8"/>
      <c r="D87" s="8"/>
      <c r="E87" s="8"/>
      <c r="F87" s="6" t="s">
        <v>701</v>
      </c>
      <c r="G87" s="6" t="s">
        <v>702</v>
      </c>
      <c r="H87" s="6" t="s">
        <v>703</v>
      </c>
      <c r="I87" s="6" t="s">
        <v>682</v>
      </c>
      <c r="J87" s="7" t="b">
        <f aca="false">TRUE()</f>
        <v>1</v>
      </c>
      <c r="K87" s="7" t="b">
        <f aca="false">FALSE()</f>
        <v>0</v>
      </c>
      <c r="L87" s="6"/>
      <c r="M87" s="6" t="s">
        <v>48</v>
      </c>
      <c r="N87" s="6" t="s">
        <v>49</v>
      </c>
      <c r="O87" s="6" t="s">
        <v>266</v>
      </c>
      <c r="P87" s="6" t="n">
        <v>4</v>
      </c>
      <c r="Q87" s="6" t="n">
        <v>3</v>
      </c>
      <c r="R87" s="6" t="s">
        <v>704</v>
      </c>
      <c r="S87" s="6" t="s">
        <v>705</v>
      </c>
      <c r="T87" s="6" t="s">
        <v>706</v>
      </c>
      <c r="U87" s="6" t="s">
        <v>163</v>
      </c>
      <c r="V87" s="6" t="s">
        <v>707</v>
      </c>
      <c r="W87" s="6" t="s">
        <v>56</v>
      </c>
      <c r="X87" s="6"/>
      <c r="Y87" s="6"/>
    </row>
    <row r="88" customFormat="false" ht="68.65" hidden="false" customHeight="false" outlineLevel="0" collapsed="false">
      <c r="A88" s="6" t="n">
        <v>87</v>
      </c>
      <c r="B88" s="7" t="b">
        <f aca="false">FALSE()</f>
        <v>0</v>
      </c>
      <c r="C88" s="8"/>
      <c r="D88" s="8"/>
      <c r="E88" s="8"/>
      <c r="F88" s="6" t="s">
        <v>708</v>
      </c>
      <c r="G88" s="6" t="s">
        <v>709</v>
      </c>
      <c r="H88" s="6" t="s">
        <v>710</v>
      </c>
      <c r="I88" s="6" t="s">
        <v>682</v>
      </c>
      <c r="J88" s="7" t="b">
        <f aca="false">TRUE()</f>
        <v>1</v>
      </c>
      <c r="K88" s="7" t="b">
        <f aca="false">FALSE()</f>
        <v>0</v>
      </c>
      <c r="L88" s="6"/>
      <c r="M88" s="6" t="s">
        <v>73</v>
      </c>
      <c r="N88" s="6" t="s">
        <v>49</v>
      </c>
      <c r="O88" s="6" t="s">
        <v>266</v>
      </c>
      <c r="P88" s="6" t="n">
        <v>4</v>
      </c>
      <c r="Q88" s="6" t="n">
        <v>4</v>
      </c>
      <c r="R88" s="6" t="s">
        <v>711</v>
      </c>
      <c r="S88" s="6" t="s">
        <v>712</v>
      </c>
      <c r="T88" s="6" t="s">
        <v>713</v>
      </c>
      <c r="U88" s="6" t="s">
        <v>163</v>
      </c>
      <c r="V88" s="6" t="s">
        <v>714</v>
      </c>
      <c r="W88" s="6" t="s">
        <v>400</v>
      </c>
      <c r="X88" s="6" t="s">
        <v>401</v>
      </c>
      <c r="Y88" s="6" t="s">
        <v>715</v>
      </c>
    </row>
    <row r="89" customFormat="false" ht="124.6" hidden="false" customHeight="false" outlineLevel="0" collapsed="false">
      <c r="A89" s="6" t="n">
        <v>88</v>
      </c>
      <c r="B89" s="7" t="b">
        <f aca="false">FALSE()</f>
        <v>0</v>
      </c>
      <c r="C89" s="8"/>
      <c r="D89" s="8"/>
      <c r="E89" s="8"/>
      <c r="F89" s="6" t="s">
        <v>716</v>
      </c>
      <c r="G89" s="6" t="s">
        <v>717</v>
      </c>
      <c r="H89" s="6" t="s">
        <v>718</v>
      </c>
      <c r="I89" s="6" t="s">
        <v>719</v>
      </c>
      <c r="J89" s="7" t="b">
        <f aca="false">TRUE()</f>
        <v>1</v>
      </c>
      <c r="K89" s="7" t="b">
        <f aca="false">FALSE()</f>
        <v>0</v>
      </c>
      <c r="L89" s="6"/>
      <c r="M89" s="6" t="s">
        <v>48</v>
      </c>
      <c r="N89" s="6" t="s">
        <v>49</v>
      </c>
      <c r="O89" s="6" t="s">
        <v>198</v>
      </c>
      <c r="P89" s="6" t="n">
        <v>4</v>
      </c>
      <c r="Q89" s="6" t="n">
        <v>3</v>
      </c>
      <c r="R89" s="6" t="s">
        <v>720</v>
      </c>
      <c r="S89" s="6" t="s">
        <v>721</v>
      </c>
      <c r="T89" s="6" t="s">
        <v>722</v>
      </c>
      <c r="U89" s="6" t="s">
        <v>597</v>
      </c>
      <c r="V89" s="6" t="s">
        <v>723</v>
      </c>
      <c r="W89" s="6" t="s">
        <v>56</v>
      </c>
      <c r="X89" s="6"/>
      <c r="Y89" s="6"/>
    </row>
    <row r="90" customFormat="false" ht="91" hidden="false" customHeight="false" outlineLevel="0" collapsed="false">
      <c r="A90" s="6" t="n">
        <v>89</v>
      </c>
      <c r="B90" s="7" t="b">
        <f aca="false">FALSE()</f>
        <v>0</v>
      </c>
      <c r="C90" s="8"/>
      <c r="D90" s="8"/>
      <c r="E90" s="8"/>
      <c r="F90" s="6" t="s">
        <v>724</v>
      </c>
      <c r="G90" s="6" t="s">
        <v>725</v>
      </c>
      <c r="H90" s="6" t="s">
        <v>726</v>
      </c>
      <c r="I90" s="6" t="s">
        <v>727</v>
      </c>
      <c r="J90" s="7" t="b">
        <f aca="false">TRUE()</f>
        <v>1</v>
      </c>
      <c r="K90" s="7" t="b">
        <f aca="false">FALSE()</f>
        <v>0</v>
      </c>
      <c r="L90" s="6"/>
      <c r="M90" s="6" t="s">
        <v>73</v>
      </c>
      <c r="N90" s="6" t="s">
        <v>49</v>
      </c>
      <c r="O90" s="6" t="s">
        <v>64</v>
      </c>
      <c r="P90" s="6" t="n">
        <v>5</v>
      </c>
      <c r="Q90" s="6" t="n">
        <v>3</v>
      </c>
      <c r="R90" s="6" t="s">
        <v>728</v>
      </c>
      <c r="S90" s="6" t="s">
        <v>729</v>
      </c>
      <c r="T90" s="6" t="s">
        <v>730</v>
      </c>
      <c r="U90" s="6" t="s">
        <v>597</v>
      </c>
      <c r="V90" s="6" t="s">
        <v>731</v>
      </c>
      <c r="W90" s="6" t="s">
        <v>400</v>
      </c>
      <c r="X90" s="6" t="s">
        <v>191</v>
      </c>
      <c r="Y90" s="6" t="s">
        <v>732</v>
      </c>
    </row>
    <row r="91" customFormat="false" ht="91" hidden="false" customHeight="false" outlineLevel="0" collapsed="false">
      <c r="A91" s="6" t="n">
        <v>90</v>
      </c>
      <c r="B91" s="7" t="b">
        <f aca="false">FALSE()</f>
        <v>0</v>
      </c>
      <c r="C91" s="8"/>
      <c r="D91" s="8"/>
      <c r="E91" s="8"/>
      <c r="F91" s="6" t="s">
        <v>733</v>
      </c>
      <c r="G91" s="6" t="s">
        <v>734</v>
      </c>
      <c r="H91" s="6" t="s">
        <v>735</v>
      </c>
      <c r="I91" s="6" t="s">
        <v>719</v>
      </c>
      <c r="J91" s="7" t="b">
        <f aca="false">TRUE()</f>
        <v>1</v>
      </c>
      <c r="K91" s="7" t="b">
        <f aca="false">TRUE()</f>
        <v>1</v>
      </c>
      <c r="L91" s="6"/>
      <c r="M91" s="6" t="s">
        <v>48</v>
      </c>
      <c r="N91" s="6" t="s">
        <v>49</v>
      </c>
      <c r="O91" s="6" t="s">
        <v>198</v>
      </c>
      <c r="P91" s="6" t="n">
        <v>5</v>
      </c>
      <c r="Q91" s="6" t="n">
        <v>4</v>
      </c>
      <c r="R91" s="6" t="s">
        <v>736</v>
      </c>
      <c r="S91" s="6" t="s">
        <v>737</v>
      </c>
      <c r="T91" s="6" t="s">
        <v>738</v>
      </c>
      <c r="U91" s="6" t="s">
        <v>597</v>
      </c>
      <c r="V91" s="6" t="s">
        <v>739</v>
      </c>
      <c r="W91" s="6" t="s">
        <v>56</v>
      </c>
      <c r="X91" s="6"/>
      <c r="Y91" s="6"/>
    </row>
    <row r="92" customFormat="false" ht="124.6" hidden="false" customHeight="false" outlineLevel="0" collapsed="false">
      <c r="A92" s="6" t="n">
        <v>91</v>
      </c>
      <c r="B92" s="7" t="b">
        <f aca="false">FALSE()</f>
        <v>0</v>
      </c>
      <c r="C92" s="8"/>
      <c r="D92" s="8"/>
      <c r="E92" s="8"/>
      <c r="F92" s="6" t="s">
        <v>740</v>
      </c>
      <c r="G92" s="6" t="s">
        <v>741</v>
      </c>
      <c r="H92" s="6" t="s">
        <v>742</v>
      </c>
      <c r="I92" s="6" t="s">
        <v>719</v>
      </c>
      <c r="J92" s="7" t="b">
        <f aca="false">TRUE()</f>
        <v>1</v>
      </c>
      <c r="K92" s="7" t="b">
        <f aca="false">FALSE()</f>
        <v>0</v>
      </c>
      <c r="L92" s="6"/>
      <c r="M92" s="6" t="s">
        <v>73</v>
      </c>
      <c r="N92" s="6" t="s">
        <v>49</v>
      </c>
      <c r="O92" s="6" t="s">
        <v>50</v>
      </c>
      <c r="P92" s="6" t="n">
        <v>5</v>
      </c>
      <c r="Q92" s="6" t="n">
        <v>3</v>
      </c>
      <c r="R92" s="6" t="s">
        <v>743</v>
      </c>
      <c r="S92" s="6" t="s">
        <v>744</v>
      </c>
      <c r="T92" s="6" t="s">
        <v>745</v>
      </c>
      <c r="U92" s="6" t="s">
        <v>597</v>
      </c>
      <c r="V92" s="6" t="s">
        <v>746</v>
      </c>
      <c r="W92" s="6" t="s">
        <v>56</v>
      </c>
      <c r="X92" s="6"/>
      <c r="Y92" s="6"/>
    </row>
    <row r="93" customFormat="false" ht="102.2" hidden="false" customHeight="false" outlineLevel="0" collapsed="false">
      <c r="A93" s="6" t="n">
        <v>92</v>
      </c>
      <c r="B93" s="7" t="b">
        <f aca="false">FALSE()</f>
        <v>0</v>
      </c>
      <c r="C93" s="8"/>
      <c r="D93" s="8"/>
      <c r="E93" s="8"/>
      <c r="F93" s="6" t="s">
        <v>747</v>
      </c>
      <c r="G93" s="6" t="s">
        <v>748</v>
      </c>
      <c r="H93" s="6" t="s">
        <v>749</v>
      </c>
      <c r="I93" s="6" t="s">
        <v>168</v>
      </c>
      <c r="J93" s="7" t="b">
        <f aca="false">TRUE()</f>
        <v>1</v>
      </c>
      <c r="K93" s="7" t="b">
        <f aca="false">FALSE()</f>
        <v>0</v>
      </c>
      <c r="L93" s="6"/>
      <c r="M93" s="6" t="s">
        <v>62</v>
      </c>
      <c r="N93" s="6" t="s">
        <v>63</v>
      </c>
      <c r="O93" s="6" t="s">
        <v>150</v>
      </c>
      <c r="P93" s="6" t="n">
        <v>4</v>
      </c>
      <c r="Q93" s="6" t="n">
        <v>4</v>
      </c>
      <c r="R93" s="6" t="s">
        <v>750</v>
      </c>
      <c r="S93" s="6" t="s">
        <v>751</v>
      </c>
      <c r="T93" s="6" t="s">
        <v>752</v>
      </c>
      <c r="U93" s="6" t="s">
        <v>172</v>
      </c>
      <c r="V93" s="6" t="s">
        <v>753</v>
      </c>
      <c r="W93" s="6" t="s">
        <v>56</v>
      </c>
      <c r="X93" s="6"/>
      <c r="Y93" s="6"/>
    </row>
    <row r="94" customFormat="false" ht="68.65" hidden="false" customHeight="false" outlineLevel="0" collapsed="false">
      <c r="A94" s="6" t="n">
        <v>93</v>
      </c>
      <c r="B94" s="7" t="b">
        <f aca="false">FALSE()</f>
        <v>0</v>
      </c>
      <c r="C94" s="8"/>
      <c r="D94" s="8"/>
      <c r="E94" s="8"/>
      <c r="F94" s="6" t="s">
        <v>754</v>
      </c>
      <c r="G94" s="6" t="s">
        <v>755</v>
      </c>
      <c r="H94" s="6" t="s">
        <v>756</v>
      </c>
      <c r="I94" s="6" t="s">
        <v>168</v>
      </c>
      <c r="J94" s="7" t="b">
        <f aca="false">TRUE()</f>
        <v>1</v>
      </c>
      <c r="K94" s="7" t="b">
        <f aca="false">FALSE()</f>
        <v>0</v>
      </c>
      <c r="L94" s="6"/>
      <c r="M94" s="6" t="s">
        <v>73</v>
      </c>
      <c r="N94" s="6" t="s">
        <v>49</v>
      </c>
      <c r="O94" s="6" t="s">
        <v>266</v>
      </c>
      <c r="P94" s="6" t="n">
        <v>5</v>
      </c>
      <c r="Q94" s="6" t="n">
        <v>4</v>
      </c>
      <c r="R94" s="6" t="s">
        <v>757</v>
      </c>
      <c r="S94" s="6" t="s">
        <v>758</v>
      </c>
      <c r="T94" s="6" t="s">
        <v>759</v>
      </c>
      <c r="U94" s="6" t="s">
        <v>172</v>
      </c>
      <c r="V94" s="6" t="s">
        <v>760</v>
      </c>
      <c r="W94" s="6" t="s">
        <v>56</v>
      </c>
      <c r="X94" s="6"/>
      <c r="Y94" s="6"/>
    </row>
    <row r="95" customFormat="false" ht="79.85" hidden="false" customHeight="false" outlineLevel="0" collapsed="false">
      <c r="A95" s="6" t="n">
        <v>94</v>
      </c>
      <c r="B95" s="7" t="b">
        <f aca="false">FALSE()</f>
        <v>0</v>
      </c>
      <c r="C95" s="8"/>
      <c r="D95" s="8"/>
      <c r="E95" s="8"/>
      <c r="F95" s="6" t="s">
        <v>761</v>
      </c>
      <c r="G95" s="6" t="s">
        <v>762</v>
      </c>
      <c r="H95" s="6" t="s">
        <v>763</v>
      </c>
      <c r="I95" s="6" t="s">
        <v>168</v>
      </c>
      <c r="J95" s="7" t="b">
        <f aca="false">TRUE()</f>
        <v>1</v>
      </c>
      <c r="K95" s="7" t="b">
        <f aca="false">FALSE()</f>
        <v>0</v>
      </c>
      <c r="L95" s="6"/>
      <c r="M95" s="6" t="s">
        <v>73</v>
      </c>
      <c r="N95" s="6" t="s">
        <v>63</v>
      </c>
      <c r="O95" s="6" t="s">
        <v>74</v>
      </c>
      <c r="P95" s="6" t="n">
        <v>5</v>
      </c>
      <c r="Q95" s="6" t="n">
        <v>3</v>
      </c>
      <c r="R95" s="6" t="s">
        <v>764</v>
      </c>
      <c r="S95" s="6" t="s">
        <v>765</v>
      </c>
      <c r="T95" s="6" t="s">
        <v>766</v>
      </c>
      <c r="U95" s="6" t="s">
        <v>172</v>
      </c>
      <c r="V95" s="6" t="s">
        <v>767</v>
      </c>
      <c r="W95" s="6" t="s">
        <v>56</v>
      </c>
      <c r="X95" s="6"/>
      <c r="Y95" s="6"/>
    </row>
    <row r="96" customFormat="false" ht="79.85" hidden="false" customHeight="false" outlineLevel="0" collapsed="false">
      <c r="A96" s="6" t="n">
        <v>95</v>
      </c>
      <c r="B96" s="7" t="b">
        <f aca="false">FALSE()</f>
        <v>0</v>
      </c>
      <c r="C96" s="8"/>
      <c r="D96" s="8"/>
      <c r="E96" s="8"/>
      <c r="F96" s="6" t="s">
        <v>768</v>
      </c>
      <c r="G96" s="6" t="s">
        <v>769</v>
      </c>
      <c r="H96" s="6" t="s">
        <v>770</v>
      </c>
      <c r="I96" s="6" t="s">
        <v>771</v>
      </c>
      <c r="J96" s="7" t="b">
        <f aca="false">TRUE()</f>
        <v>1</v>
      </c>
      <c r="K96" s="7" t="b">
        <f aca="false">FALSE()</f>
        <v>0</v>
      </c>
      <c r="L96" s="6"/>
      <c r="M96" s="6" t="s">
        <v>73</v>
      </c>
      <c r="N96" s="6" t="s">
        <v>63</v>
      </c>
      <c r="O96" s="6" t="s">
        <v>101</v>
      </c>
      <c r="P96" s="6" t="n">
        <v>5</v>
      </c>
      <c r="Q96" s="6" t="n">
        <v>4</v>
      </c>
      <c r="R96" s="6" t="s">
        <v>772</v>
      </c>
      <c r="S96" s="6" t="s">
        <v>773</v>
      </c>
      <c r="T96" s="6" t="s">
        <v>774</v>
      </c>
      <c r="U96" s="6" t="s">
        <v>648</v>
      </c>
      <c r="V96" s="6" t="s">
        <v>775</v>
      </c>
      <c r="W96" s="6" t="s">
        <v>56</v>
      </c>
      <c r="X96" s="6"/>
      <c r="Y96" s="6"/>
    </row>
    <row r="97" customFormat="false" ht="79.85" hidden="false" customHeight="false" outlineLevel="0" collapsed="false">
      <c r="A97" s="6" t="n">
        <v>96</v>
      </c>
      <c r="B97" s="7" t="b">
        <f aca="false">FALSE()</f>
        <v>0</v>
      </c>
      <c r="C97" s="8"/>
      <c r="D97" s="8"/>
      <c r="E97" s="8"/>
      <c r="F97" s="6" t="s">
        <v>776</v>
      </c>
      <c r="G97" s="6" t="s">
        <v>777</v>
      </c>
      <c r="H97" s="6" t="s">
        <v>778</v>
      </c>
      <c r="I97" s="6" t="s">
        <v>779</v>
      </c>
      <c r="J97" s="7" t="b">
        <f aca="false">TRUE()</f>
        <v>1</v>
      </c>
      <c r="K97" s="7" t="b">
        <f aca="false">FALSE()</f>
        <v>0</v>
      </c>
      <c r="L97" s="6"/>
      <c r="M97" s="6" t="s">
        <v>73</v>
      </c>
      <c r="N97" s="6" t="s">
        <v>63</v>
      </c>
      <c r="O97" s="6" t="s">
        <v>266</v>
      </c>
      <c r="P97" s="6" t="n">
        <v>4</v>
      </c>
      <c r="Q97" s="6" t="n">
        <v>3</v>
      </c>
      <c r="R97" s="6" t="s">
        <v>780</v>
      </c>
      <c r="S97" s="6" t="s">
        <v>781</v>
      </c>
      <c r="T97" s="6" t="s">
        <v>782</v>
      </c>
      <c r="U97" s="6" t="s">
        <v>648</v>
      </c>
      <c r="V97" s="6" t="s">
        <v>783</v>
      </c>
      <c r="W97" s="6" t="s">
        <v>56</v>
      </c>
      <c r="X97" s="6"/>
      <c r="Y97" s="6"/>
    </row>
    <row r="98" customFormat="false" ht="91" hidden="false" customHeight="false" outlineLevel="0" collapsed="false">
      <c r="A98" s="6" t="n">
        <v>97</v>
      </c>
      <c r="B98" s="7" t="b">
        <f aca="false">FALSE()</f>
        <v>0</v>
      </c>
      <c r="C98" s="8"/>
      <c r="D98" s="8"/>
      <c r="E98" s="8"/>
      <c r="F98" s="6" t="s">
        <v>784</v>
      </c>
      <c r="G98" s="6" t="s">
        <v>785</v>
      </c>
      <c r="H98" s="6" t="s">
        <v>786</v>
      </c>
      <c r="I98" s="6" t="s">
        <v>771</v>
      </c>
      <c r="J98" s="7" t="b">
        <f aca="false">TRUE()</f>
        <v>1</v>
      </c>
      <c r="K98" s="7" t="b">
        <f aca="false">FALSE()</f>
        <v>0</v>
      </c>
      <c r="L98" s="6"/>
      <c r="M98" s="6" t="s">
        <v>62</v>
      </c>
      <c r="N98" s="6" t="s">
        <v>63</v>
      </c>
      <c r="O98" s="6" t="s">
        <v>74</v>
      </c>
      <c r="P98" s="6" t="n">
        <v>5</v>
      </c>
      <c r="Q98" s="6" t="n">
        <v>3</v>
      </c>
      <c r="R98" s="6" t="s">
        <v>787</v>
      </c>
      <c r="S98" s="6" t="s">
        <v>788</v>
      </c>
      <c r="T98" s="6" t="s">
        <v>789</v>
      </c>
      <c r="U98" s="6" t="s">
        <v>648</v>
      </c>
      <c r="V98" s="6" t="s">
        <v>790</v>
      </c>
      <c r="W98" s="6" t="s">
        <v>56</v>
      </c>
      <c r="X98" s="6"/>
      <c r="Y98" s="6"/>
    </row>
    <row r="99" customFormat="false" ht="91" hidden="false" customHeight="false" outlineLevel="0" collapsed="false">
      <c r="A99" s="6" t="n">
        <v>98</v>
      </c>
      <c r="B99" s="7" t="b">
        <f aca="false">FALSE()</f>
        <v>0</v>
      </c>
      <c r="C99" s="8"/>
      <c r="D99" s="8"/>
      <c r="E99" s="8"/>
      <c r="F99" s="6" t="s">
        <v>791</v>
      </c>
      <c r="G99" s="6" t="s">
        <v>792</v>
      </c>
      <c r="H99" s="6" t="s">
        <v>786</v>
      </c>
      <c r="I99" s="6" t="s">
        <v>771</v>
      </c>
      <c r="J99" s="7" t="b">
        <f aca="false">TRUE()</f>
        <v>1</v>
      </c>
      <c r="K99" s="7" t="b">
        <f aca="false">TRUE()</f>
        <v>1</v>
      </c>
      <c r="L99" s="6"/>
      <c r="M99" s="6" t="s">
        <v>73</v>
      </c>
      <c r="N99" s="6" t="s">
        <v>49</v>
      </c>
      <c r="O99" s="6" t="s">
        <v>266</v>
      </c>
      <c r="P99" s="6" t="n">
        <v>5</v>
      </c>
      <c r="Q99" s="6" t="n">
        <v>4</v>
      </c>
      <c r="R99" s="6" t="s">
        <v>793</v>
      </c>
      <c r="S99" s="6" t="s">
        <v>794</v>
      </c>
      <c r="T99" s="6" t="s">
        <v>795</v>
      </c>
      <c r="U99" s="6" t="s">
        <v>648</v>
      </c>
      <c r="V99" s="6" t="s">
        <v>796</v>
      </c>
      <c r="W99" s="6" t="s">
        <v>400</v>
      </c>
      <c r="X99" s="6" t="s">
        <v>797</v>
      </c>
      <c r="Y99" s="6" t="s">
        <v>798</v>
      </c>
    </row>
    <row r="100" customFormat="false" ht="180.55" hidden="false" customHeight="false" outlineLevel="0" collapsed="false">
      <c r="A100" s="6" t="n">
        <v>99</v>
      </c>
      <c r="B100" s="7" t="b">
        <f aca="false">FALSE()</f>
        <v>0</v>
      </c>
      <c r="C100" s="8"/>
      <c r="D100" s="8"/>
      <c r="E100" s="8"/>
      <c r="F100" s="6" t="s">
        <v>799</v>
      </c>
      <c r="G100" s="6" t="s">
        <v>800</v>
      </c>
      <c r="H100" s="6" t="s">
        <v>801</v>
      </c>
      <c r="I100" s="6" t="s">
        <v>802</v>
      </c>
      <c r="J100" s="7" t="b">
        <f aca="false">TRUE()</f>
        <v>1</v>
      </c>
      <c r="K100" s="7" t="b">
        <f aca="false">FALSE()</f>
        <v>0</v>
      </c>
      <c r="L100" s="6"/>
      <c r="M100" s="6" t="s">
        <v>83</v>
      </c>
      <c r="N100" s="6" t="s">
        <v>84</v>
      </c>
      <c r="O100" s="6" t="s">
        <v>266</v>
      </c>
      <c r="P100" s="6" t="n">
        <v>5</v>
      </c>
      <c r="Q100" s="6" t="n">
        <v>4</v>
      </c>
      <c r="R100" s="6" t="s">
        <v>803</v>
      </c>
      <c r="S100" s="6" t="s">
        <v>804</v>
      </c>
      <c r="T100" s="6" t="s">
        <v>805</v>
      </c>
      <c r="U100" s="6" t="s">
        <v>648</v>
      </c>
      <c r="V100" s="6" t="s">
        <v>806</v>
      </c>
      <c r="W100" s="6" t="s">
        <v>56</v>
      </c>
      <c r="X100" s="6"/>
      <c r="Y100" s="6"/>
    </row>
    <row r="101" customFormat="false" ht="113.4" hidden="false" customHeight="false" outlineLevel="0" collapsed="false">
      <c r="A101" s="6" t="n">
        <v>100</v>
      </c>
      <c r="B101" s="7" t="b">
        <f aca="false">FALSE()</f>
        <v>0</v>
      </c>
      <c r="C101" s="8"/>
      <c r="D101" s="8"/>
      <c r="E101" s="8"/>
      <c r="F101" s="6" t="s">
        <v>807</v>
      </c>
      <c r="G101" s="6" t="s">
        <v>808</v>
      </c>
      <c r="H101" s="6" t="s">
        <v>809</v>
      </c>
      <c r="I101" s="6" t="s">
        <v>810</v>
      </c>
      <c r="J101" s="7" t="b">
        <f aca="false">TRUE()</f>
        <v>1</v>
      </c>
      <c r="K101" s="7" t="b">
        <f aca="false">FALSE()</f>
        <v>0</v>
      </c>
      <c r="L101" s="6"/>
      <c r="M101" s="6" t="s">
        <v>83</v>
      </c>
      <c r="N101" s="6" t="s">
        <v>84</v>
      </c>
      <c r="O101" s="6" t="s">
        <v>159</v>
      </c>
      <c r="P101" s="6" t="n">
        <v>4</v>
      </c>
      <c r="Q101" s="6" t="n">
        <v>4</v>
      </c>
      <c r="R101" s="6" t="s">
        <v>811</v>
      </c>
      <c r="S101" s="6" t="s">
        <v>812</v>
      </c>
      <c r="T101" s="6" t="s">
        <v>813</v>
      </c>
      <c r="U101" s="6" t="s">
        <v>163</v>
      </c>
      <c r="V101" s="6" t="s">
        <v>814</v>
      </c>
      <c r="W101" s="6" t="s">
        <v>56</v>
      </c>
      <c r="X101" s="6"/>
      <c r="Y101" s="6"/>
    </row>
    <row r="102" customFormat="false" ht="102.2" hidden="false" customHeight="false" outlineLevel="0" collapsed="false">
      <c r="A102" s="6" t="n">
        <v>101</v>
      </c>
      <c r="B102" s="7" t="b">
        <f aca="false">FALSE()</f>
        <v>0</v>
      </c>
      <c r="C102" s="8"/>
      <c r="D102" s="8"/>
      <c r="E102" s="8"/>
      <c r="F102" s="6" t="s">
        <v>815</v>
      </c>
      <c r="G102" s="6" t="s">
        <v>816</v>
      </c>
      <c r="H102" s="6" t="s">
        <v>817</v>
      </c>
      <c r="I102" s="6" t="s">
        <v>810</v>
      </c>
      <c r="J102" s="7" t="b">
        <f aca="false">TRUE()</f>
        <v>1</v>
      </c>
      <c r="K102" s="7" t="b">
        <f aca="false">FALSE()</f>
        <v>0</v>
      </c>
      <c r="L102" s="6"/>
      <c r="M102" s="6" t="s">
        <v>62</v>
      </c>
      <c r="N102" s="6" t="s">
        <v>63</v>
      </c>
      <c r="O102" s="6" t="s">
        <v>159</v>
      </c>
      <c r="P102" s="6" t="n">
        <v>5</v>
      </c>
      <c r="Q102" s="6" t="n">
        <v>3</v>
      </c>
      <c r="R102" s="6" t="s">
        <v>818</v>
      </c>
      <c r="S102" s="6" t="s">
        <v>819</v>
      </c>
      <c r="T102" s="6" t="s">
        <v>820</v>
      </c>
      <c r="U102" s="6" t="s">
        <v>163</v>
      </c>
      <c r="V102" s="6" t="s">
        <v>821</v>
      </c>
      <c r="W102" s="6" t="s">
        <v>56</v>
      </c>
      <c r="X102" s="6"/>
      <c r="Y102" s="6"/>
    </row>
    <row r="103" customFormat="false" ht="113.4" hidden="false" customHeight="false" outlineLevel="0" collapsed="false">
      <c r="A103" s="6" t="n">
        <v>102</v>
      </c>
      <c r="B103" s="7" t="b">
        <f aca="false">FALSE()</f>
        <v>0</v>
      </c>
      <c r="C103" s="8"/>
      <c r="D103" s="8"/>
      <c r="E103" s="8"/>
      <c r="F103" s="6" t="s">
        <v>822</v>
      </c>
      <c r="G103" s="6" t="s">
        <v>823</v>
      </c>
      <c r="H103" s="6" t="s">
        <v>824</v>
      </c>
      <c r="I103" s="6" t="s">
        <v>810</v>
      </c>
      <c r="J103" s="7" t="b">
        <f aca="false">TRUE()</f>
        <v>1</v>
      </c>
      <c r="K103" s="7" t="b">
        <f aca="false">FALSE()</f>
        <v>0</v>
      </c>
      <c r="L103" s="6"/>
      <c r="M103" s="6" t="s">
        <v>48</v>
      </c>
      <c r="N103" s="6" t="s">
        <v>49</v>
      </c>
      <c r="O103" s="6" t="s">
        <v>101</v>
      </c>
      <c r="P103" s="6" t="n">
        <v>4</v>
      </c>
      <c r="Q103" s="6" t="n">
        <v>4</v>
      </c>
      <c r="R103" s="6" t="s">
        <v>825</v>
      </c>
      <c r="S103" s="6" t="s">
        <v>826</v>
      </c>
      <c r="T103" s="6" t="s">
        <v>827</v>
      </c>
      <c r="U103" s="6" t="s">
        <v>163</v>
      </c>
      <c r="V103" s="6" t="s">
        <v>828</v>
      </c>
      <c r="W103" s="6" t="s">
        <v>56</v>
      </c>
      <c r="X103" s="6"/>
      <c r="Y103" s="6"/>
    </row>
    <row r="104" customFormat="false" ht="79.85" hidden="false" customHeight="false" outlineLevel="0" collapsed="false">
      <c r="A104" s="6" t="n">
        <v>103</v>
      </c>
      <c r="B104" s="7" t="b">
        <f aca="false">FALSE()</f>
        <v>0</v>
      </c>
      <c r="C104" s="8"/>
      <c r="D104" s="8"/>
      <c r="E104" s="8"/>
      <c r="F104" s="6" t="s">
        <v>829</v>
      </c>
      <c r="G104" s="6" t="s">
        <v>830</v>
      </c>
      <c r="H104" s="6" t="s">
        <v>831</v>
      </c>
      <c r="I104" s="6" t="s">
        <v>810</v>
      </c>
      <c r="J104" s="7" t="b">
        <f aca="false">TRUE()</f>
        <v>1</v>
      </c>
      <c r="K104" s="7" t="b">
        <f aca="false">TRUE()</f>
        <v>1</v>
      </c>
      <c r="L104" s="6"/>
      <c r="M104" s="6" t="s">
        <v>62</v>
      </c>
      <c r="N104" s="6" t="s">
        <v>63</v>
      </c>
      <c r="O104" s="6" t="s">
        <v>110</v>
      </c>
      <c r="P104" s="6" t="n">
        <v>5</v>
      </c>
      <c r="Q104" s="6" t="n">
        <v>3</v>
      </c>
      <c r="R104" s="6" t="s">
        <v>832</v>
      </c>
      <c r="S104" s="6" t="s">
        <v>833</v>
      </c>
      <c r="T104" s="6" t="s">
        <v>834</v>
      </c>
      <c r="U104" s="6" t="s">
        <v>163</v>
      </c>
      <c r="V104" s="6" t="s">
        <v>835</v>
      </c>
      <c r="W104" s="6" t="s">
        <v>56</v>
      </c>
      <c r="X104" s="6"/>
      <c r="Y104" s="6"/>
    </row>
    <row r="105" customFormat="false" ht="102.2" hidden="false" customHeight="false" outlineLevel="0" collapsed="false">
      <c r="A105" s="6" t="n">
        <v>104</v>
      </c>
      <c r="B105" s="7" t="b">
        <f aca="false">FALSE()</f>
        <v>0</v>
      </c>
      <c r="C105" s="8"/>
      <c r="D105" s="8"/>
      <c r="E105" s="8"/>
      <c r="F105" s="6" t="s">
        <v>836</v>
      </c>
      <c r="G105" s="6" t="s">
        <v>837</v>
      </c>
      <c r="H105" s="6" t="s">
        <v>838</v>
      </c>
      <c r="I105" s="6" t="s">
        <v>810</v>
      </c>
      <c r="J105" s="7" t="b">
        <f aca="false">TRUE()</f>
        <v>1</v>
      </c>
      <c r="K105" s="7" t="b">
        <f aca="false">FALSE()</f>
        <v>0</v>
      </c>
      <c r="L105" s="6"/>
      <c r="M105" s="6" t="s">
        <v>73</v>
      </c>
      <c r="N105" s="6" t="s">
        <v>63</v>
      </c>
      <c r="O105" s="6" t="s">
        <v>101</v>
      </c>
      <c r="P105" s="6" t="n">
        <v>5</v>
      </c>
      <c r="Q105" s="6" t="n">
        <v>3</v>
      </c>
      <c r="R105" s="6" t="s">
        <v>839</v>
      </c>
      <c r="S105" s="6" t="s">
        <v>840</v>
      </c>
      <c r="T105" s="6" t="s">
        <v>841</v>
      </c>
      <c r="U105" s="6" t="s">
        <v>163</v>
      </c>
      <c r="V105" s="6" t="s">
        <v>842</v>
      </c>
      <c r="W105" s="6" t="s">
        <v>56</v>
      </c>
      <c r="X105" s="6"/>
      <c r="Y105" s="6"/>
    </row>
    <row r="106" customFormat="false" ht="91" hidden="false" customHeight="false" outlineLevel="0" collapsed="false">
      <c r="A106" s="6" t="n">
        <v>105</v>
      </c>
      <c r="B106" s="7" t="b">
        <f aca="false">FALSE()</f>
        <v>0</v>
      </c>
      <c r="C106" s="8"/>
      <c r="D106" s="8"/>
      <c r="E106" s="8"/>
      <c r="F106" s="6" t="s">
        <v>843</v>
      </c>
      <c r="G106" s="6" t="s">
        <v>844</v>
      </c>
      <c r="H106" s="6" t="s">
        <v>845</v>
      </c>
      <c r="I106" s="6" t="s">
        <v>846</v>
      </c>
      <c r="J106" s="7" t="b">
        <f aca="false">TRUE()</f>
        <v>1</v>
      </c>
      <c r="K106" s="7" t="b">
        <f aca="false">FALSE()</f>
        <v>0</v>
      </c>
      <c r="L106" s="6"/>
      <c r="M106" s="6" t="s">
        <v>83</v>
      </c>
      <c r="N106" s="6" t="s">
        <v>84</v>
      </c>
      <c r="O106" s="6" t="s">
        <v>110</v>
      </c>
      <c r="P106" s="6" t="n">
        <v>4</v>
      </c>
      <c r="Q106" s="6" t="n">
        <v>4</v>
      </c>
      <c r="R106" s="6" t="s">
        <v>847</v>
      </c>
      <c r="S106" s="6" t="s">
        <v>848</v>
      </c>
      <c r="T106" s="6" t="s">
        <v>849</v>
      </c>
      <c r="U106" s="6" t="s">
        <v>597</v>
      </c>
      <c r="V106" s="6" t="s">
        <v>850</v>
      </c>
      <c r="W106" s="6" t="s">
        <v>56</v>
      </c>
      <c r="X106" s="6"/>
      <c r="Y106" s="6"/>
    </row>
    <row r="107" customFormat="false" ht="79.85" hidden="false" customHeight="false" outlineLevel="0" collapsed="false">
      <c r="A107" s="6" t="n">
        <v>106</v>
      </c>
      <c r="B107" s="7" t="b">
        <f aca="false">FALSE()</f>
        <v>0</v>
      </c>
      <c r="C107" s="8"/>
      <c r="D107" s="8"/>
      <c r="E107" s="8"/>
      <c r="F107" s="6" t="s">
        <v>851</v>
      </c>
      <c r="G107" s="6" t="s">
        <v>852</v>
      </c>
      <c r="H107" s="6" t="s">
        <v>853</v>
      </c>
      <c r="I107" s="6" t="s">
        <v>846</v>
      </c>
      <c r="J107" s="7" t="b">
        <f aca="false">TRUE()</f>
        <v>1</v>
      </c>
      <c r="K107" s="7" t="b">
        <f aca="false">FALSE()</f>
        <v>0</v>
      </c>
      <c r="L107" s="6"/>
      <c r="M107" s="6" t="s">
        <v>73</v>
      </c>
      <c r="N107" s="6" t="s">
        <v>49</v>
      </c>
      <c r="O107" s="6" t="s">
        <v>101</v>
      </c>
      <c r="P107" s="6" t="n">
        <v>5</v>
      </c>
      <c r="Q107" s="6" t="n">
        <v>4</v>
      </c>
      <c r="R107" s="6" t="s">
        <v>854</v>
      </c>
      <c r="S107" s="6" t="s">
        <v>855</v>
      </c>
      <c r="T107" s="6" t="s">
        <v>856</v>
      </c>
      <c r="U107" s="6" t="s">
        <v>597</v>
      </c>
      <c r="V107" s="6" t="s">
        <v>857</v>
      </c>
      <c r="W107" s="6" t="s">
        <v>56</v>
      </c>
      <c r="X107" s="6"/>
      <c r="Y107" s="6"/>
    </row>
    <row r="108" customFormat="false" ht="91" hidden="false" customHeight="false" outlineLevel="0" collapsed="false">
      <c r="A108" s="6" t="n">
        <v>107</v>
      </c>
      <c r="B108" s="7" t="b">
        <f aca="false">FALSE()</f>
        <v>0</v>
      </c>
      <c r="C108" s="8"/>
      <c r="D108" s="8"/>
      <c r="E108" s="8"/>
      <c r="F108" s="6" t="s">
        <v>858</v>
      </c>
      <c r="G108" s="6" t="s">
        <v>859</v>
      </c>
      <c r="H108" s="6" t="s">
        <v>860</v>
      </c>
      <c r="I108" s="6" t="s">
        <v>846</v>
      </c>
      <c r="J108" s="7" t="b">
        <f aca="false">TRUE()</f>
        <v>1</v>
      </c>
      <c r="K108" s="7" t="b">
        <f aca="false">FALSE()</f>
        <v>0</v>
      </c>
      <c r="L108" s="6"/>
      <c r="M108" s="6" t="s">
        <v>83</v>
      </c>
      <c r="N108" s="6" t="s">
        <v>84</v>
      </c>
      <c r="O108" s="6" t="s">
        <v>118</v>
      </c>
      <c r="P108" s="6" t="n">
        <v>5</v>
      </c>
      <c r="Q108" s="6" t="n">
        <v>3</v>
      </c>
      <c r="R108" s="6" t="s">
        <v>861</v>
      </c>
      <c r="S108" s="6" t="s">
        <v>862</v>
      </c>
      <c r="T108" s="6" t="s">
        <v>863</v>
      </c>
      <c r="U108" s="6" t="s">
        <v>597</v>
      </c>
      <c r="V108" s="6" t="s">
        <v>864</v>
      </c>
      <c r="W108" s="6" t="s">
        <v>56</v>
      </c>
      <c r="X108" s="6"/>
      <c r="Y108" s="6"/>
    </row>
    <row r="109" customFormat="false" ht="91" hidden="false" customHeight="false" outlineLevel="0" collapsed="false">
      <c r="A109" s="6" t="n">
        <v>108</v>
      </c>
      <c r="B109" s="7" t="b">
        <f aca="false">FALSE()</f>
        <v>0</v>
      </c>
      <c r="C109" s="8"/>
      <c r="D109" s="8"/>
      <c r="E109" s="8"/>
      <c r="F109" s="6" t="s">
        <v>865</v>
      </c>
      <c r="G109" s="6" t="s">
        <v>866</v>
      </c>
      <c r="H109" s="6" t="s">
        <v>867</v>
      </c>
      <c r="I109" s="6" t="s">
        <v>846</v>
      </c>
      <c r="J109" s="7" t="b">
        <f aca="false">TRUE()</f>
        <v>1</v>
      </c>
      <c r="K109" s="7" t="b">
        <f aca="false">FALSE()</f>
        <v>0</v>
      </c>
      <c r="L109" s="6"/>
      <c r="M109" s="6" t="s">
        <v>62</v>
      </c>
      <c r="N109" s="6" t="s">
        <v>63</v>
      </c>
      <c r="O109" s="6" t="s">
        <v>207</v>
      </c>
      <c r="P109" s="6" t="n">
        <v>4</v>
      </c>
      <c r="Q109" s="6" t="n">
        <v>3</v>
      </c>
      <c r="R109" s="6" t="s">
        <v>868</v>
      </c>
      <c r="S109" s="6" t="s">
        <v>869</v>
      </c>
      <c r="T109" s="6" t="s">
        <v>870</v>
      </c>
      <c r="U109" s="6" t="s">
        <v>597</v>
      </c>
      <c r="V109" s="6" t="s">
        <v>871</v>
      </c>
      <c r="W109" s="6" t="s">
        <v>56</v>
      </c>
      <c r="X109" s="6"/>
      <c r="Y109" s="6" t="s">
        <v>872</v>
      </c>
    </row>
    <row r="110" customFormat="false" ht="68.65" hidden="false" customHeight="false" outlineLevel="0" collapsed="false">
      <c r="A110" s="6" t="n">
        <v>109</v>
      </c>
      <c r="B110" s="7" t="b">
        <f aca="false">FALSE()</f>
        <v>0</v>
      </c>
      <c r="C110" s="8"/>
      <c r="D110" s="8"/>
      <c r="E110" s="8"/>
      <c r="F110" s="6" t="s">
        <v>873</v>
      </c>
      <c r="G110" s="6" t="s">
        <v>874</v>
      </c>
      <c r="H110" s="6" t="s">
        <v>875</v>
      </c>
      <c r="I110" s="6" t="s">
        <v>876</v>
      </c>
      <c r="J110" s="7" t="b">
        <f aca="false">TRUE()</f>
        <v>1</v>
      </c>
      <c r="K110" s="7" t="b">
        <f aca="false">FALSE()</f>
        <v>0</v>
      </c>
      <c r="L110" s="6"/>
      <c r="M110" s="6" t="s">
        <v>62</v>
      </c>
      <c r="N110" s="6" t="s">
        <v>63</v>
      </c>
      <c r="O110" s="6" t="s">
        <v>110</v>
      </c>
      <c r="P110" s="6" t="n">
        <v>5</v>
      </c>
      <c r="Q110" s="6" t="n">
        <v>3</v>
      </c>
      <c r="R110" s="6" t="s">
        <v>877</v>
      </c>
      <c r="S110" s="6" t="s">
        <v>878</v>
      </c>
      <c r="T110" s="6" t="s">
        <v>879</v>
      </c>
      <c r="U110" s="6" t="s">
        <v>597</v>
      </c>
      <c r="V110" s="6" t="s">
        <v>880</v>
      </c>
      <c r="W110" s="6" t="s">
        <v>56</v>
      </c>
      <c r="X110" s="6"/>
      <c r="Y110" s="6"/>
    </row>
    <row r="111" customFormat="false" ht="102.2" hidden="false" customHeight="false" outlineLevel="0" collapsed="false">
      <c r="A111" s="6" t="n">
        <v>110</v>
      </c>
      <c r="B111" s="7" t="b">
        <f aca="false">FALSE()</f>
        <v>0</v>
      </c>
      <c r="C111" s="8"/>
      <c r="D111" s="8"/>
      <c r="E111" s="8"/>
      <c r="F111" s="6" t="s">
        <v>881</v>
      </c>
      <c r="G111" s="6" t="s">
        <v>882</v>
      </c>
      <c r="H111" s="6" t="s">
        <v>883</v>
      </c>
      <c r="I111" s="6" t="s">
        <v>230</v>
      </c>
      <c r="J111" s="7" t="b">
        <f aca="false">FALSE()</f>
        <v>0</v>
      </c>
      <c r="K111" s="7" t="b">
        <f aca="false">FALSE()</f>
        <v>0</v>
      </c>
      <c r="L111" s="6" t="s">
        <v>185</v>
      </c>
      <c r="M111" s="6" t="s">
        <v>73</v>
      </c>
      <c r="N111" s="6" t="s">
        <v>49</v>
      </c>
      <c r="O111" s="6" t="s">
        <v>198</v>
      </c>
      <c r="P111" s="6" t="n">
        <v>5</v>
      </c>
      <c r="Q111" s="6" t="n">
        <v>2</v>
      </c>
      <c r="R111" s="6" t="s">
        <v>884</v>
      </c>
      <c r="S111" s="6" t="s">
        <v>885</v>
      </c>
      <c r="T111" s="6" t="s">
        <v>886</v>
      </c>
      <c r="U111" s="6" t="s">
        <v>54</v>
      </c>
      <c r="V111" s="6" t="s">
        <v>887</v>
      </c>
      <c r="W111" s="6" t="s">
        <v>190</v>
      </c>
      <c r="X111" s="6" t="s">
        <v>191</v>
      </c>
      <c r="Y111" s="6" t="s">
        <v>192</v>
      </c>
    </row>
    <row r="112" customFormat="false" ht="135.8" hidden="false" customHeight="false" outlineLevel="0" collapsed="false">
      <c r="A112" s="6" t="n">
        <v>111</v>
      </c>
      <c r="B112" s="7" t="b">
        <f aca="false">FALSE()</f>
        <v>0</v>
      </c>
      <c r="C112" s="8"/>
      <c r="D112" s="8"/>
      <c r="E112" s="8"/>
      <c r="F112" s="6" t="s">
        <v>888</v>
      </c>
      <c r="G112" s="6" t="s">
        <v>889</v>
      </c>
      <c r="H112" s="6" t="s">
        <v>890</v>
      </c>
      <c r="I112" s="6" t="s">
        <v>184</v>
      </c>
      <c r="J112" s="7" t="b">
        <f aca="false">FALSE()</f>
        <v>0</v>
      </c>
      <c r="K112" s="7" t="b">
        <f aca="false">FALSE()</f>
        <v>0</v>
      </c>
      <c r="L112" s="6" t="s">
        <v>185</v>
      </c>
      <c r="M112" s="6" t="s">
        <v>83</v>
      </c>
      <c r="N112" s="6" t="s">
        <v>84</v>
      </c>
      <c r="O112" s="6" t="s">
        <v>101</v>
      </c>
      <c r="P112" s="6" t="n">
        <v>5</v>
      </c>
      <c r="Q112" s="6" t="n">
        <v>2</v>
      </c>
      <c r="R112" s="6" t="s">
        <v>891</v>
      </c>
      <c r="S112" s="6" t="s">
        <v>892</v>
      </c>
      <c r="T112" s="6" t="s">
        <v>893</v>
      </c>
      <c r="U112" s="6" t="s">
        <v>54</v>
      </c>
      <c r="V112" s="6" t="s">
        <v>894</v>
      </c>
      <c r="W112" s="6" t="s">
        <v>190</v>
      </c>
      <c r="X112" s="6" t="s">
        <v>191</v>
      </c>
      <c r="Y112" s="6" t="s">
        <v>192</v>
      </c>
    </row>
    <row r="113" customFormat="false" ht="79.85" hidden="false" customHeight="false" outlineLevel="0" collapsed="false">
      <c r="A113" s="6" t="n">
        <v>112</v>
      </c>
      <c r="B113" s="7" t="b">
        <f aca="false">FALSE()</f>
        <v>0</v>
      </c>
      <c r="C113" s="8"/>
      <c r="D113" s="8"/>
      <c r="E113" s="8"/>
      <c r="F113" s="6" t="s">
        <v>895</v>
      </c>
      <c r="G113" s="6" t="s">
        <v>896</v>
      </c>
      <c r="H113" s="6" t="s">
        <v>183</v>
      </c>
      <c r="I113" s="6" t="s">
        <v>184</v>
      </c>
      <c r="J113" s="7" t="b">
        <f aca="false">FALSE()</f>
        <v>0</v>
      </c>
      <c r="K113" s="7" t="b">
        <f aca="false">FALSE()</f>
        <v>0</v>
      </c>
      <c r="L113" s="6" t="s">
        <v>185</v>
      </c>
      <c r="M113" s="6" t="s">
        <v>62</v>
      </c>
      <c r="N113" s="6" t="s">
        <v>63</v>
      </c>
      <c r="O113" s="6" t="s">
        <v>198</v>
      </c>
      <c r="P113" s="6" t="n">
        <v>5</v>
      </c>
      <c r="Q113" s="6" t="n">
        <v>2</v>
      </c>
      <c r="R113" s="6" t="s">
        <v>897</v>
      </c>
      <c r="S113" s="6" t="s">
        <v>898</v>
      </c>
      <c r="T113" s="6" t="s">
        <v>899</v>
      </c>
      <c r="U113" s="6" t="s">
        <v>54</v>
      </c>
      <c r="V113" s="6" t="s">
        <v>900</v>
      </c>
      <c r="W113" s="6" t="s">
        <v>190</v>
      </c>
      <c r="X113" s="6" t="s">
        <v>191</v>
      </c>
      <c r="Y113" s="6" t="s">
        <v>192</v>
      </c>
    </row>
    <row r="114" customFormat="false" ht="68.65" hidden="false" customHeight="false" outlineLevel="0" collapsed="false">
      <c r="A114" s="6" t="n">
        <v>113</v>
      </c>
      <c r="B114" s="7" t="b">
        <f aca="false">FALSE()</f>
        <v>0</v>
      </c>
      <c r="C114" s="8"/>
      <c r="D114" s="8"/>
      <c r="E114" s="8"/>
      <c r="F114" s="6" t="s">
        <v>901</v>
      </c>
      <c r="G114" s="6" t="s">
        <v>902</v>
      </c>
      <c r="H114" s="6" t="s">
        <v>903</v>
      </c>
      <c r="I114" s="6" t="s">
        <v>184</v>
      </c>
      <c r="J114" s="7" t="b">
        <f aca="false">FALSE()</f>
        <v>0</v>
      </c>
      <c r="K114" s="7" t="b">
        <f aca="false">FALSE()</f>
        <v>0</v>
      </c>
      <c r="L114" s="6" t="s">
        <v>185</v>
      </c>
      <c r="M114" s="6" t="s">
        <v>73</v>
      </c>
      <c r="N114" s="6" t="s">
        <v>49</v>
      </c>
      <c r="O114" s="6" t="s">
        <v>198</v>
      </c>
      <c r="P114" s="6" t="n">
        <v>5</v>
      </c>
      <c r="Q114" s="6" t="n">
        <v>2</v>
      </c>
      <c r="R114" s="6" t="s">
        <v>904</v>
      </c>
      <c r="S114" s="6" t="s">
        <v>905</v>
      </c>
      <c r="T114" s="6" t="s">
        <v>906</v>
      </c>
      <c r="U114" s="6" t="s">
        <v>54</v>
      </c>
      <c r="V114" s="6" t="s">
        <v>907</v>
      </c>
      <c r="W114" s="6" t="s">
        <v>190</v>
      </c>
      <c r="X114" s="6" t="s">
        <v>191</v>
      </c>
      <c r="Y114" s="6" t="s">
        <v>192</v>
      </c>
    </row>
    <row r="115" customFormat="false" ht="102.2" hidden="false" customHeight="false" outlineLevel="0" collapsed="false">
      <c r="A115" s="6" t="n">
        <v>114</v>
      </c>
      <c r="B115" s="7" t="b">
        <f aca="false">FALSE()</f>
        <v>0</v>
      </c>
      <c r="C115" s="8"/>
      <c r="D115" s="8"/>
      <c r="E115" s="8"/>
      <c r="F115" s="6" t="s">
        <v>908</v>
      </c>
      <c r="G115" s="6" t="s">
        <v>909</v>
      </c>
      <c r="H115" s="6" t="s">
        <v>910</v>
      </c>
      <c r="I115" s="6" t="s">
        <v>413</v>
      </c>
      <c r="J115" s="7" t="b">
        <f aca="false">FALSE()</f>
        <v>0</v>
      </c>
      <c r="K115" s="7" t="b">
        <f aca="false">FALSE()</f>
        <v>0</v>
      </c>
      <c r="L115" s="6" t="s">
        <v>185</v>
      </c>
      <c r="M115" s="6" t="s">
        <v>48</v>
      </c>
      <c r="N115" s="6" t="s">
        <v>49</v>
      </c>
      <c r="O115" s="6" t="s">
        <v>207</v>
      </c>
      <c r="P115" s="6" t="n">
        <v>5</v>
      </c>
      <c r="Q115" s="6" t="n">
        <v>2</v>
      </c>
      <c r="R115" s="6" t="s">
        <v>911</v>
      </c>
      <c r="S115" s="6" t="s">
        <v>912</v>
      </c>
      <c r="T115" s="6" t="s">
        <v>913</v>
      </c>
      <c r="U115" s="6" t="s">
        <v>54</v>
      </c>
      <c r="V115" s="6" t="s">
        <v>914</v>
      </c>
      <c r="W115" s="6" t="s">
        <v>190</v>
      </c>
      <c r="X115" s="6" t="s">
        <v>191</v>
      </c>
      <c r="Y115" s="6" t="s">
        <v>915</v>
      </c>
    </row>
    <row r="116" customFormat="false" ht="113.4" hidden="false" customHeight="false" outlineLevel="0" collapsed="false">
      <c r="A116" s="6" t="n">
        <v>115</v>
      </c>
      <c r="B116" s="7" t="b">
        <f aca="false">FALSE()</f>
        <v>0</v>
      </c>
      <c r="C116" s="8"/>
      <c r="D116" s="8"/>
      <c r="E116" s="8"/>
      <c r="F116" s="6" t="s">
        <v>916</v>
      </c>
      <c r="G116" s="6" t="s">
        <v>917</v>
      </c>
      <c r="H116" s="6" t="s">
        <v>918</v>
      </c>
      <c r="I116" s="6" t="s">
        <v>215</v>
      </c>
      <c r="J116" s="7" t="b">
        <f aca="false">FALSE()</f>
        <v>0</v>
      </c>
      <c r="K116" s="7" t="b">
        <f aca="false">TRUE()</f>
        <v>1</v>
      </c>
      <c r="L116" s="6" t="s">
        <v>919</v>
      </c>
      <c r="M116" s="6" t="s">
        <v>83</v>
      </c>
      <c r="N116" s="6" t="s">
        <v>84</v>
      </c>
      <c r="O116" s="6" t="s">
        <v>198</v>
      </c>
      <c r="P116" s="6"/>
      <c r="Q116" s="6"/>
      <c r="R116" s="6" t="s">
        <v>920</v>
      </c>
      <c r="S116" s="6" t="s">
        <v>921</v>
      </c>
      <c r="T116" s="6" t="s">
        <v>922</v>
      </c>
      <c r="U116" s="6" t="s">
        <v>54</v>
      </c>
      <c r="V116" s="6" t="s">
        <v>923</v>
      </c>
      <c r="W116" s="6" t="s">
        <v>190</v>
      </c>
      <c r="X116" s="6" t="s">
        <v>191</v>
      </c>
      <c r="Y116" s="6" t="s">
        <v>924</v>
      </c>
    </row>
    <row r="117" customFormat="false" ht="79.85" hidden="false" customHeight="false" outlineLevel="0" collapsed="false">
      <c r="A117" s="6" t="n">
        <v>116</v>
      </c>
      <c r="B117" s="7" t="b">
        <f aca="false">FALSE()</f>
        <v>0</v>
      </c>
      <c r="C117" s="8"/>
      <c r="D117" s="8"/>
      <c r="E117" s="8"/>
      <c r="F117" s="6" t="s">
        <v>925</v>
      </c>
      <c r="G117" s="6" t="s">
        <v>926</v>
      </c>
      <c r="H117" s="6" t="s">
        <v>927</v>
      </c>
      <c r="I117" s="6" t="s">
        <v>215</v>
      </c>
      <c r="J117" s="7" t="b">
        <f aca="false">FALSE()</f>
        <v>0</v>
      </c>
      <c r="K117" s="7" t="b">
        <f aca="false">FALSE()</f>
        <v>0</v>
      </c>
      <c r="L117" s="6" t="s">
        <v>185</v>
      </c>
      <c r="M117" s="6" t="s">
        <v>73</v>
      </c>
      <c r="N117" s="6" t="s">
        <v>49</v>
      </c>
      <c r="O117" s="6" t="s">
        <v>198</v>
      </c>
      <c r="P117" s="6" t="n">
        <v>5</v>
      </c>
      <c r="Q117" s="6" t="n">
        <v>2</v>
      </c>
      <c r="R117" s="6" t="s">
        <v>928</v>
      </c>
      <c r="S117" s="6" t="s">
        <v>929</v>
      </c>
      <c r="T117" s="6" t="s">
        <v>930</v>
      </c>
      <c r="U117" s="6" t="s">
        <v>54</v>
      </c>
      <c r="V117" s="6" t="s">
        <v>931</v>
      </c>
      <c r="W117" s="6" t="s">
        <v>190</v>
      </c>
      <c r="X117" s="6" t="s">
        <v>191</v>
      </c>
      <c r="Y117" s="6" t="s">
        <v>192</v>
      </c>
    </row>
    <row r="118" customFormat="false" ht="68.65" hidden="false" customHeight="false" outlineLevel="0" collapsed="false">
      <c r="A118" s="6" t="n">
        <v>117</v>
      </c>
      <c r="B118" s="7" t="b">
        <f aca="false">FALSE()</f>
        <v>0</v>
      </c>
      <c r="C118" s="8"/>
      <c r="D118" s="8"/>
      <c r="E118" s="8"/>
      <c r="F118" s="6" t="s">
        <v>932</v>
      </c>
      <c r="G118" s="6" t="s">
        <v>933</v>
      </c>
      <c r="H118" s="6" t="s">
        <v>934</v>
      </c>
      <c r="I118" s="6" t="s">
        <v>215</v>
      </c>
      <c r="J118" s="7" t="b">
        <f aca="false">FALSE()</f>
        <v>0</v>
      </c>
      <c r="K118" s="7" t="b">
        <f aca="false">FALSE()</f>
        <v>0</v>
      </c>
      <c r="L118" s="6" t="s">
        <v>185</v>
      </c>
      <c r="M118" s="6" t="s">
        <v>48</v>
      </c>
      <c r="N118" s="6" t="s">
        <v>49</v>
      </c>
      <c r="O118" s="6" t="s">
        <v>207</v>
      </c>
      <c r="P118" s="6" t="n">
        <v>5</v>
      </c>
      <c r="Q118" s="6" t="n">
        <v>2</v>
      </c>
      <c r="R118" s="6" t="s">
        <v>935</v>
      </c>
      <c r="S118" s="6" t="s">
        <v>936</v>
      </c>
      <c r="T118" s="6" t="s">
        <v>937</v>
      </c>
      <c r="U118" s="6" t="s">
        <v>54</v>
      </c>
      <c r="V118" s="6" t="s">
        <v>938</v>
      </c>
      <c r="W118" s="6" t="s">
        <v>190</v>
      </c>
      <c r="X118" s="6" t="s">
        <v>191</v>
      </c>
      <c r="Y118" s="6" t="s">
        <v>192</v>
      </c>
    </row>
    <row r="119" customFormat="false" ht="113.4" hidden="false" customHeight="false" outlineLevel="0" collapsed="false">
      <c r="A119" s="6" t="n">
        <v>118</v>
      </c>
      <c r="B119" s="7" t="b">
        <f aca="false">FALSE()</f>
        <v>0</v>
      </c>
      <c r="C119" s="8"/>
      <c r="D119" s="8"/>
      <c r="E119" s="8"/>
      <c r="F119" s="6" t="s">
        <v>939</v>
      </c>
      <c r="G119" s="6" t="s">
        <v>940</v>
      </c>
      <c r="H119" s="6" t="s">
        <v>941</v>
      </c>
      <c r="I119" s="6" t="s">
        <v>141</v>
      </c>
      <c r="J119" s="7" t="b">
        <f aca="false">FALSE()</f>
        <v>0</v>
      </c>
      <c r="K119" s="7" t="b">
        <f aca="false">FALSE()</f>
        <v>0</v>
      </c>
      <c r="L119" s="6" t="s">
        <v>197</v>
      </c>
      <c r="M119" s="6" t="s">
        <v>48</v>
      </c>
      <c r="N119" s="6" t="s">
        <v>49</v>
      </c>
      <c r="O119" s="6" t="s">
        <v>207</v>
      </c>
      <c r="P119" s="6" t="n">
        <v>5</v>
      </c>
      <c r="Q119" s="6" t="n">
        <v>2</v>
      </c>
      <c r="R119" s="6" t="s">
        <v>942</v>
      </c>
      <c r="S119" s="6" t="s">
        <v>943</v>
      </c>
      <c r="T119" s="6" t="s">
        <v>944</v>
      </c>
      <c r="U119" s="6" t="s">
        <v>54</v>
      </c>
      <c r="V119" s="6" t="s">
        <v>945</v>
      </c>
      <c r="W119" s="6" t="s">
        <v>190</v>
      </c>
      <c r="X119" s="6" t="s">
        <v>191</v>
      </c>
      <c r="Y119" s="6" t="s">
        <v>946</v>
      </c>
    </row>
    <row r="120" customFormat="false" ht="68.65" hidden="false" customHeight="false" outlineLevel="0" collapsed="false">
      <c r="A120" s="6" t="n">
        <v>119</v>
      </c>
      <c r="B120" s="7" t="b">
        <f aca="false">FALSE()</f>
        <v>0</v>
      </c>
      <c r="C120" s="8"/>
      <c r="D120" s="8"/>
      <c r="E120" s="8"/>
      <c r="F120" s="6" t="s">
        <v>947</v>
      </c>
      <c r="G120" s="6" t="s">
        <v>948</v>
      </c>
      <c r="H120" s="6" t="s">
        <v>949</v>
      </c>
      <c r="I120" s="6" t="s">
        <v>149</v>
      </c>
      <c r="J120" s="7" t="b">
        <f aca="false">FALSE()</f>
        <v>0</v>
      </c>
      <c r="K120" s="7" t="b">
        <f aca="false">FALSE()</f>
        <v>0</v>
      </c>
      <c r="L120" s="6" t="s">
        <v>185</v>
      </c>
      <c r="M120" s="6" t="s">
        <v>62</v>
      </c>
      <c r="N120" s="6" t="s">
        <v>63</v>
      </c>
      <c r="O120" s="6" t="s">
        <v>198</v>
      </c>
      <c r="P120" s="6" t="n">
        <v>5</v>
      </c>
      <c r="Q120" s="6" t="n">
        <v>2</v>
      </c>
      <c r="R120" s="6" t="s">
        <v>950</v>
      </c>
      <c r="S120" s="6" t="s">
        <v>951</v>
      </c>
      <c r="T120" s="6" t="s">
        <v>952</v>
      </c>
      <c r="U120" s="6" t="s">
        <v>54</v>
      </c>
      <c r="V120" s="6" t="s">
        <v>953</v>
      </c>
      <c r="W120" s="6" t="s">
        <v>190</v>
      </c>
      <c r="X120" s="6" t="s">
        <v>191</v>
      </c>
      <c r="Y120" s="6" t="s">
        <v>192</v>
      </c>
    </row>
    <row r="121" customFormat="false" ht="79.85" hidden="false" customHeight="false" outlineLevel="0" collapsed="false">
      <c r="A121" s="6" t="n">
        <v>120</v>
      </c>
      <c r="B121" s="7" t="b">
        <f aca="false">FALSE()</f>
        <v>0</v>
      </c>
      <c r="C121" s="8"/>
      <c r="D121" s="8"/>
      <c r="E121" s="8"/>
      <c r="F121" s="6" t="s">
        <v>954</v>
      </c>
      <c r="G121" s="6" t="s">
        <v>955</v>
      </c>
      <c r="H121" s="6" t="s">
        <v>956</v>
      </c>
      <c r="I121" s="6" t="s">
        <v>149</v>
      </c>
      <c r="J121" s="7" t="b">
        <f aca="false">FALSE()</f>
        <v>0</v>
      </c>
      <c r="K121" s="7" t="b">
        <f aca="false">FALSE()</f>
        <v>0</v>
      </c>
      <c r="L121" s="6" t="s">
        <v>185</v>
      </c>
      <c r="M121" s="6" t="s">
        <v>62</v>
      </c>
      <c r="N121" s="6" t="s">
        <v>63</v>
      </c>
      <c r="O121" s="6" t="s">
        <v>101</v>
      </c>
      <c r="P121" s="6" t="n">
        <v>5</v>
      </c>
      <c r="Q121" s="6" t="n">
        <v>2</v>
      </c>
      <c r="R121" s="6" t="s">
        <v>957</v>
      </c>
      <c r="S121" s="6" t="s">
        <v>958</v>
      </c>
      <c r="T121" s="6" t="s">
        <v>959</v>
      </c>
      <c r="U121" s="6" t="s">
        <v>54</v>
      </c>
      <c r="V121" s="6" t="s">
        <v>960</v>
      </c>
      <c r="W121" s="6" t="s">
        <v>190</v>
      </c>
      <c r="X121" s="6" t="s">
        <v>191</v>
      </c>
      <c r="Y121" s="6" t="s">
        <v>192</v>
      </c>
    </row>
    <row r="122" customFormat="false" ht="113.4" hidden="false" customHeight="false" outlineLevel="0" collapsed="false">
      <c r="A122" s="6" t="n">
        <v>121</v>
      </c>
      <c r="B122" s="7" t="b">
        <f aca="false">FALSE()</f>
        <v>0</v>
      </c>
      <c r="C122" s="8"/>
      <c r="D122" s="8"/>
      <c r="E122" s="8"/>
      <c r="F122" s="6" t="s">
        <v>961</v>
      </c>
      <c r="G122" s="6" t="s">
        <v>962</v>
      </c>
      <c r="H122" s="6" t="s">
        <v>963</v>
      </c>
      <c r="I122" s="6" t="s">
        <v>534</v>
      </c>
      <c r="J122" s="7" t="b">
        <f aca="false">FALSE()</f>
        <v>0</v>
      </c>
      <c r="K122" s="7" t="b">
        <f aca="false">FALSE()</f>
        <v>0</v>
      </c>
      <c r="L122" s="6" t="s">
        <v>185</v>
      </c>
      <c r="M122" s="6" t="s">
        <v>62</v>
      </c>
      <c r="N122" s="6" t="s">
        <v>63</v>
      </c>
      <c r="O122" s="6" t="s">
        <v>101</v>
      </c>
      <c r="P122" s="6" t="n">
        <v>5</v>
      </c>
      <c r="Q122" s="6" t="n">
        <v>2</v>
      </c>
      <c r="R122" s="6" t="s">
        <v>964</v>
      </c>
      <c r="S122" s="6" t="s">
        <v>965</v>
      </c>
      <c r="T122" s="6" t="s">
        <v>966</v>
      </c>
      <c r="U122" s="6" t="s">
        <v>54</v>
      </c>
      <c r="V122" s="6" t="s">
        <v>967</v>
      </c>
      <c r="W122" s="6" t="s">
        <v>190</v>
      </c>
      <c r="X122" s="6" t="s">
        <v>191</v>
      </c>
      <c r="Y122" s="6" t="s">
        <v>192</v>
      </c>
    </row>
    <row r="123" customFormat="false" ht="79.85" hidden="false" customHeight="false" outlineLevel="0" collapsed="false">
      <c r="A123" s="6" t="n">
        <v>122</v>
      </c>
      <c r="B123" s="7" t="b">
        <f aca="false">FALSE()</f>
        <v>0</v>
      </c>
      <c r="C123" s="8"/>
      <c r="D123" s="8"/>
      <c r="E123" s="8"/>
      <c r="F123" s="6" t="s">
        <v>968</v>
      </c>
      <c r="G123" s="6" t="s">
        <v>969</v>
      </c>
      <c r="H123" s="6" t="s">
        <v>970</v>
      </c>
      <c r="I123" s="6" t="s">
        <v>636</v>
      </c>
      <c r="J123" s="7" t="b">
        <f aca="false">FALSE()</f>
        <v>0</v>
      </c>
      <c r="K123" s="7" t="b">
        <f aca="false">FALSE()</f>
        <v>0</v>
      </c>
      <c r="L123" s="6" t="s">
        <v>185</v>
      </c>
      <c r="M123" s="6" t="s">
        <v>62</v>
      </c>
      <c r="N123" s="6" t="s">
        <v>63</v>
      </c>
      <c r="O123" s="6" t="s">
        <v>159</v>
      </c>
      <c r="P123" s="6" t="n">
        <v>5</v>
      </c>
      <c r="Q123" s="6" t="n">
        <v>2</v>
      </c>
      <c r="R123" s="6" t="s">
        <v>971</v>
      </c>
      <c r="S123" s="6" t="s">
        <v>972</v>
      </c>
      <c r="T123" s="6" t="s">
        <v>973</v>
      </c>
      <c r="U123" s="6" t="s">
        <v>172</v>
      </c>
      <c r="V123" s="6" t="s">
        <v>974</v>
      </c>
      <c r="W123" s="6" t="s">
        <v>190</v>
      </c>
      <c r="X123" s="6" t="s">
        <v>191</v>
      </c>
      <c r="Y123" s="6" t="s">
        <v>192</v>
      </c>
    </row>
    <row r="124" customFormat="false" ht="79.85" hidden="false" customHeight="false" outlineLevel="0" collapsed="false">
      <c r="A124" s="6" t="n">
        <v>123</v>
      </c>
      <c r="B124" s="7" t="b">
        <f aca="false">FALSE()</f>
        <v>0</v>
      </c>
      <c r="C124" s="8"/>
      <c r="D124" s="8"/>
      <c r="E124" s="8"/>
      <c r="F124" s="6" t="s">
        <v>975</v>
      </c>
      <c r="G124" s="6" t="s">
        <v>976</v>
      </c>
      <c r="H124" s="6" t="s">
        <v>977</v>
      </c>
      <c r="I124" s="6" t="s">
        <v>636</v>
      </c>
      <c r="J124" s="7" t="b">
        <f aca="false">FALSE()</f>
        <v>0</v>
      </c>
      <c r="K124" s="7" t="b">
        <f aca="false">FALSE()</f>
        <v>0</v>
      </c>
      <c r="L124" s="6" t="s">
        <v>185</v>
      </c>
      <c r="M124" s="6" t="s">
        <v>48</v>
      </c>
      <c r="N124" s="6" t="s">
        <v>49</v>
      </c>
      <c r="O124" s="6" t="s">
        <v>74</v>
      </c>
      <c r="P124" s="6" t="n">
        <v>5</v>
      </c>
      <c r="Q124" s="6" t="n">
        <v>2</v>
      </c>
      <c r="R124" s="6" t="s">
        <v>978</v>
      </c>
      <c r="S124" s="6" t="s">
        <v>979</v>
      </c>
      <c r="T124" s="6" t="s">
        <v>980</v>
      </c>
      <c r="U124" s="6" t="s">
        <v>172</v>
      </c>
      <c r="V124" s="6" t="s">
        <v>981</v>
      </c>
      <c r="W124" s="6" t="s">
        <v>190</v>
      </c>
      <c r="X124" s="6" t="s">
        <v>191</v>
      </c>
      <c r="Y124" s="6" t="s">
        <v>192</v>
      </c>
    </row>
    <row r="125" customFormat="false" ht="91" hidden="false" customHeight="false" outlineLevel="0" collapsed="false">
      <c r="A125" s="6" t="n">
        <v>124</v>
      </c>
      <c r="B125" s="7" t="b">
        <f aca="false">FALSE()</f>
        <v>0</v>
      </c>
      <c r="C125" s="8"/>
      <c r="D125" s="8"/>
      <c r="E125" s="8"/>
      <c r="F125" s="6" t="s">
        <v>982</v>
      </c>
      <c r="G125" s="6" t="s">
        <v>983</v>
      </c>
      <c r="H125" s="6" t="s">
        <v>984</v>
      </c>
      <c r="I125" s="6" t="s">
        <v>636</v>
      </c>
      <c r="J125" s="7" t="b">
        <f aca="false">FALSE()</f>
        <v>0</v>
      </c>
      <c r="K125" s="7" t="b">
        <f aca="false">FALSE()</f>
        <v>0</v>
      </c>
      <c r="L125" s="6" t="s">
        <v>185</v>
      </c>
      <c r="M125" s="6" t="s">
        <v>62</v>
      </c>
      <c r="N125" s="6" t="s">
        <v>63</v>
      </c>
      <c r="O125" s="6" t="s">
        <v>118</v>
      </c>
      <c r="P125" s="6" t="n">
        <v>5</v>
      </c>
      <c r="Q125" s="6" t="n">
        <v>2</v>
      </c>
      <c r="R125" s="6" t="s">
        <v>985</v>
      </c>
      <c r="S125" s="6" t="s">
        <v>986</v>
      </c>
      <c r="T125" s="6" t="s">
        <v>987</v>
      </c>
      <c r="U125" s="6" t="s">
        <v>172</v>
      </c>
      <c r="V125" s="6" t="s">
        <v>988</v>
      </c>
      <c r="W125" s="6" t="s">
        <v>190</v>
      </c>
      <c r="X125" s="6" t="s">
        <v>191</v>
      </c>
      <c r="Y125" s="6" t="s">
        <v>192</v>
      </c>
    </row>
    <row r="126" customFormat="false" ht="91" hidden="false" customHeight="false" outlineLevel="0" collapsed="false">
      <c r="A126" s="6" t="n">
        <v>125</v>
      </c>
      <c r="B126" s="7" t="b">
        <f aca="false">FALSE()</f>
        <v>0</v>
      </c>
      <c r="C126" s="8"/>
      <c r="D126" s="8"/>
      <c r="E126" s="8"/>
      <c r="F126" s="6" t="s">
        <v>989</v>
      </c>
      <c r="G126" s="6" t="s">
        <v>990</v>
      </c>
      <c r="H126" s="6" t="s">
        <v>991</v>
      </c>
      <c r="I126" s="6" t="s">
        <v>727</v>
      </c>
      <c r="J126" s="7" t="b">
        <f aca="false">FALSE()</f>
        <v>0</v>
      </c>
      <c r="K126" s="7" t="b">
        <f aca="false">FALSE()</f>
        <v>0</v>
      </c>
      <c r="L126" s="6" t="s">
        <v>185</v>
      </c>
      <c r="M126" s="6" t="s">
        <v>62</v>
      </c>
      <c r="N126" s="6" t="s">
        <v>63</v>
      </c>
      <c r="O126" s="6" t="s">
        <v>198</v>
      </c>
      <c r="P126" s="6" t="n">
        <v>5</v>
      </c>
      <c r="Q126" s="6" t="n">
        <v>2</v>
      </c>
      <c r="R126" s="6" t="s">
        <v>992</v>
      </c>
      <c r="S126" s="6" t="s">
        <v>993</v>
      </c>
      <c r="T126" s="6" t="s">
        <v>994</v>
      </c>
      <c r="U126" s="6" t="s">
        <v>597</v>
      </c>
      <c r="V126" s="6" t="s">
        <v>995</v>
      </c>
      <c r="W126" s="6" t="s">
        <v>190</v>
      </c>
      <c r="X126" s="6" t="s">
        <v>191</v>
      </c>
      <c r="Y126" s="6" t="s">
        <v>192</v>
      </c>
    </row>
  </sheetData>
  <autoFilter ref="A1:Y126"/>
  <conditionalFormatting sqref="C2:C126">
    <cfRule type="expression" priority="2" aboveAverage="0" equalAverage="0" bottom="0" percent="0" rank="0" text="" dxfId="9">
      <formula>$C2="accept"</formula>
    </cfRule>
    <cfRule type="expression" priority="3" aboveAverage="0" equalAverage="0" bottom="0" percent="0" rank="0" text="" dxfId="10">
      <formula>$C2="reject"</formula>
    </cfRule>
  </conditionalFormatting>
  <conditionalFormatting sqref="A2:B126">
    <cfRule type="expression" priority="4" aboveAverage="0" equalAverage="0" bottom="0" percent="0" rank="0" text="" dxfId="11">
      <formula>$B2=1</formula>
    </cfRule>
  </conditionalFormatting>
  <conditionalFormatting sqref="W2:W126">
    <cfRule type="expression" priority="5" aboveAverage="0" equalAverage="0" bottom="0" percent="0" rank="0" text="" dxfId="9">
      <formula>$W2="accept"</formula>
    </cfRule>
    <cfRule type="expression" priority="6" aboveAverage="0" equalAverage="0" bottom="0" percent="0" rank="0" text="" dxfId="10">
      <formula>$W2="reject"</formula>
    </cfRule>
    <cfRule type="expression" priority="7" aboveAverage="0" equalAverage="0" bottom="0" percent="0" rank="0" text="" dxfId="12">
      <formula>$W2="borderline"</formula>
    </cfRule>
  </conditionalFormatting>
  <dataValidations count="2">
    <dataValidation allowBlank="true" errorStyle="stop" operator="between" showDropDown="false" showErrorMessage="false" showInputMessage="false" sqref="C2:C126" type="list">
      <formula1>"accept,reject"</formula1>
      <formula2>0</formula2>
    </dataValidation>
    <dataValidation allowBlank="true" errorStyle="stop" operator="between" showDropDown="false" showErrorMessage="false" showInputMessage="false" sqref="D2:D126" type="list">
      <formula1>"incorrect,unsupported,not_standalone,low_value,unclear,other"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s>
  <sheetData>
    <row r="1" customFormat="false" ht="15" hidden="false" customHeight="false" outlineLevel="0" collapsed="false">
      <c r="A1" s="9" t="s">
        <v>996</v>
      </c>
    </row>
    <row r="2" customFormat="false" ht="15" hidden="false" customHeight="false" outlineLevel="0" collapsed="false">
      <c r="A2" s="10" t="s">
        <v>997</v>
      </c>
      <c r="B2" s="10" t="n">
        <f aca="false">COUNTIF(Review!$C$2:$C$126,"accept")+COUNTIF(Review!$C$2:$C$126,"reject")</f>
        <v>0</v>
      </c>
    </row>
    <row r="3" customFormat="false" ht="15" hidden="false" customHeight="false" outlineLevel="0" collapsed="false">
      <c r="A3" s="10" t="s">
        <v>998</v>
      </c>
      <c r="B3" s="10" t="n">
        <f aca="false">COUNTIFS(Review!$B$2:$B$126,TRUE(),Review!$C$2:$C$126,"accept")+COUNTIFS(Review!$B$2:$B$126,TRUE(),Review!$C$2:$C$126,"reject")</f>
        <v>0</v>
      </c>
    </row>
    <row r="4" customFormat="false" ht="15" hidden="false" customHeight="false" outlineLevel="0" collapsed="false">
      <c r="A4" s="10" t="s">
        <v>999</v>
      </c>
      <c r="B4" s="11" t="str">
        <f aca="false">IFERROR(COUNTIFS(Review!$J$2:$J$126,TRUE(),Review!$C$2:$C$126,"accept")/(COUNTIFS(Review!$J$2:$J$126,TRUE(),Review!$C$2:$C$126,"accept")+COUNTIFS(Review!$J$2:$J$126,TRUE(),Review!$C$2:$C$126,"reject")),"")</f>
        <v/>
      </c>
    </row>
    <row r="6" customFormat="false" ht="15" hidden="false" customHeight="false" outlineLevel="0" collapsed="false">
      <c r="A6" s="9" t="s">
        <v>1000</v>
      </c>
    </row>
    <row r="7" customFormat="false" ht="15" hidden="false" customHeight="false" outlineLevel="0" collapsed="false">
      <c r="B7" s="9" t="s">
        <v>1001</v>
      </c>
      <c r="C7" s="9" t="s">
        <v>1002</v>
      </c>
    </row>
    <row r="8" customFormat="false" ht="15" hidden="false" customHeight="false" outlineLevel="0" collapsed="false">
      <c r="A8" s="10" t="s">
        <v>1003</v>
      </c>
      <c r="B8" s="10" t="n">
        <f aca="false">COUNTIFS(Review!$J$2:$J$126,TRUE(),Review!$C$2:$C$126,"accept")</f>
        <v>0</v>
      </c>
      <c r="C8" s="10" t="n">
        <f aca="false">COUNTIFS(Review!$J$2:$J$126,TRUE(),Review!$C$2:$C$126,"reject")</f>
        <v>0</v>
      </c>
    </row>
    <row r="9" customFormat="false" ht="15" hidden="false" customHeight="false" outlineLevel="0" collapsed="false">
      <c r="A9" s="10" t="s">
        <v>1004</v>
      </c>
      <c r="B9" s="10" t="n">
        <f aca="false">COUNTIFS(Review!$J$2:$J$126,FALSE(),Review!$C$2:$C$126,"accept")</f>
        <v>0</v>
      </c>
      <c r="C9" s="10" t="n">
        <f aca="false">COUNTIFS(Review!$J$2:$J$126,FALSE(),Review!$C$2:$C$126,"reject")</f>
        <v>0</v>
      </c>
    </row>
    <row r="10" customFormat="false" ht="15" hidden="false" customHeight="false" outlineLevel="0" collapsed="false">
      <c r="A10" s="10" t="s">
        <v>1005</v>
      </c>
      <c r="B10" s="11" t="str">
        <f aca="false">IFERROR((B8+C9)/(B8+C8+B9+C9),"")</f>
        <v/>
      </c>
    </row>
    <row r="11" customFormat="false" ht="15" hidden="false" customHeight="false" outlineLevel="0" collapsed="false">
      <c r="A11" s="10" t="s">
        <v>1006</v>
      </c>
      <c r="B11" s="12" t="str">
        <f aca="false">IFERROR(((B8+C9)/(B8+C8+B9+C9)-((B8+C8)*(B8+B9)+(B9+C9)*(C8+C9))/(B8+C8+B9+C9)^2)/(1-((B8+C8)*(B8+B9)+(B9+C9)*(C8+C9))/(B8+C8+B9+C9)^2),"")</f>
        <v/>
      </c>
    </row>
    <row r="13" customFormat="false" ht="15" hidden="false" customHeight="false" outlineLevel="0" collapsed="false">
      <c r="A13" s="9" t="s">
        <v>1007</v>
      </c>
    </row>
    <row r="14" customFormat="false" ht="15" hidden="false" customHeight="false" outlineLevel="0" collapsed="false">
      <c r="B14" s="9" t="s">
        <v>1001</v>
      </c>
      <c r="C14" s="9" t="s">
        <v>1002</v>
      </c>
    </row>
    <row r="15" customFormat="false" ht="15" hidden="false" customHeight="false" outlineLevel="0" collapsed="false">
      <c r="A15" s="10" t="s">
        <v>1008</v>
      </c>
      <c r="B15" s="10" t="n">
        <f aca="false">COUNTIFS(Review!$W$2:$W$126,"accept",Review!$C$2:$C$126,"accept")</f>
        <v>0</v>
      </c>
      <c r="C15" s="10" t="n">
        <f aca="false">COUNTIFS(Review!$W$2:$W$126,"accept",Review!$C$2:$C$126,"reject")</f>
        <v>0</v>
      </c>
    </row>
    <row r="16" customFormat="false" ht="15" hidden="false" customHeight="false" outlineLevel="0" collapsed="false">
      <c r="A16" s="10" t="s">
        <v>1009</v>
      </c>
      <c r="B16" s="10" t="n">
        <f aca="false">COUNTIFS(Review!$W$2:$W$126,"reject",Review!$C$2:$C$126,"accept")</f>
        <v>0</v>
      </c>
      <c r="C16" s="10" t="n">
        <f aca="false">COUNTIFS(Review!$W$2:$W$126,"reject",Review!$C$2:$C$126,"reject")</f>
        <v>0</v>
      </c>
    </row>
    <row r="17" customFormat="false" ht="15" hidden="false" customHeight="false" outlineLevel="0" collapsed="false">
      <c r="A17" s="10" t="s">
        <v>1010</v>
      </c>
      <c r="B17" s="10" t="n">
        <f aca="false">COUNTIFS(Review!$W$2:$W$126,"borderline",Review!$C$2:$C$126,"accept")</f>
        <v>0</v>
      </c>
      <c r="C17" s="10" t="n">
        <f aca="false">COUNTIFS(Review!$W$2:$W$126,"borderline",Review!$C$2:$C$126,"reject")</f>
        <v>0</v>
      </c>
    </row>
    <row r="18" customFormat="false" ht="15" hidden="false" customHeight="false" outlineLevel="0" collapsed="false">
      <c r="A18" s="10" t="s">
        <v>1005</v>
      </c>
      <c r="B18" s="11" t="str">
        <f aca="false">IFERROR((B15+C16)/(B15+C15+B16+C16),"")</f>
        <v/>
      </c>
    </row>
    <row r="20" customFormat="false" ht="15" hidden="false" customHeight="false" outlineLevel="0" collapsed="false">
      <c r="A20" s="9" t="s">
        <v>1011</v>
      </c>
    </row>
    <row r="21" customFormat="false" ht="15" hidden="false" customHeight="false" outlineLevel="0" collapsed="false">
      <c r="A21" s="10" t="s">
        <v>1012</v>
      </c>
      <c r="B21" s="10" t="n">
        <f aca="false">COUNTIF(Review!$D$2:$D$126,"incorrect")</f>
        <v>0</v>
      </c>
    </row>
    <row r="22" customFormat="false" ht="15" hidden="false" customHeight="false" outlineLevel="0" collapsed="false">
      <c r="A22" s="10" t="s">
        <v>1013</v>
      </c>
      <c r="B22" s="10" t="n">
        <f aca="false">COUNTIF(Review!$D$2:$D$126,"unsupported")</f>
        <v>0</v>
      </c>
    </row>
    <row r="23" customFormat="false" ht="15" hidden="false" customHeight="false" outlineLevel="0" collapsed="false">
      <c r="A23" s="10" t="s">
        <v>1014</v>
      </c>
      <c r="B23" s="10" t="n">
        <f aca="false">COUNTIF(Review!$D$2:$D$126,"not_standalone")</f>
        <v>0</v>
      </c>
    </row>
    <row r="24" customFormat="false" ht="15" hidden="false" customHeight="false" outlineLevel="0" collapsed="false">
      <c r="A24" s="10" t="s">
        <v>191</v>
      </c>
      <c r="B24" s="10" t="n">
        <f aca="false">COUNTIF(Review!$D$2:$D$126,"low_value")</f>
        <v>0</v>
      </c>
    </row>
    <row r="25" customFormat="false" ht="15" hidden="false" customHeight="false" outlineLevel="0" collapsed="false">
      <c r="A25" s="10" t="s">
        <v>401</v>
      </c>
      <c r="B25" s="10" t="n">
        <f aca="false">COUNTIF(Review!$D$2:$D$126,"unclear")</f>
        <v>0</v>
      </c>
    </row>
    <row r="26" customFormat="false" ht="15" hidden="false" customHeight="false" outlineLevel="0" collapsed="false">
      <c r="A26" s="10" t="s">
        <v>797</v>
      </c>
      <c r="B26" s="10" t="n">
        <f aca="false">COUNTIF(Review!$D$2:$D$126,"other")</f>
        <v>0</v>
      </c>
    </row>
    <row r="28" customFormat="false" ht="32.8" hidden="false" customHeight="false" outlineLevel="0" collapsed="false">
      <c r="A28" s="13" t="s">
        <v>1015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2026-10-03T15:27:20Z</dcterms:created>
  <dc:creator>openpyxl</dc:creator>
  <dc:description/>
  <dc:language>en-US</dc:language>
  <cp:lastModifiedBy/>
  <dcterms:modified xsi:type="dcterms:W3CDTF">2026-10-03T15:27:20Z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