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Agreement" sheetId="3" state="visible" r:id="rId3"/>
  </sheets>
  <definedNames>
    <definedName name="_xlnm._FilterDatabase" localSheetId="1" hidden="1">'Review'!$A$1:$V$131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sz val="11"/>
    </font>
    <font>
      <b val="1"/>
      <sz val="11"/>
    </font>
    <font>
      <b val="1"/>
      <color rgb="FFFFFFFF"/>
    </font>
    <font>
      <b val="1"/>
    </font>
    <font/>
  </fonts>
  <fills count="4">
    <fill>
      <patternFill/>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xf>
    <xf numFmtId="9" fontId="6" fillId="0" borderId="0" applyAlignment="1" pivotButton="0" quotePrefix="0" xfId="0">
      <alignment vertical="top"/>
    </xf>
    <xf numFmtId="0" fontId="5" fillId="0" borderId="0" applyAlignment="1" pivotButton="0" quotePrefix="0" xfId="0">
      <alignment vertical="top"/>
    </xf>
    <xf numFmtId="2" fontId="6" fillId="0" borderId="0" applyAlignment="1" pivotButton="0" quotePrefix="0" xfId="0">
      <alignment vertical="top"/>
    </xf>
  </cellXfs>
  <cellStyles count="1">
    <cellStyle name="Normal" xfId="0" builtinId="0" hidden="0"/>
  </cellStyles>
  <dxfs count="3">
    <dxf>
      <fill>
        <patternFill patternType="solid">
          <fgColor rgb="FFC6EFCE"/>
        </patternFill>
      </fill>
    </dxf>
    <dxf>
      <fill>
        <patternFill patternType="solid">
          <fgColor rgb="FFFFC7CE"/>
        </patternFill>
      </fill>
    </dxf>
    <dxf>
      <fill>
        <patternFill patternType="solid">
          <fgColor rgb="FF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full_v1 QA review</t>
        </is>
      </c>
    </row>
    <row r="2">
      <c r="A2" s="2" t="n"/>
    </row>
    <row r="3">
      <c r="A3" s="3" t="inlineStr">
        <is>
          <t>What to do</t>
        </is>
      </c>
    </row>
    <row r="4">
      <c r="A4" s="2" t="inlineStr">
        <is>
          <t>1. The Review sheet has a stratified random sample of 100 pairs that passed the filters (spread over question type and dimension) and 30 rejected pairs (spread over reject reason), shuffled together. Review all 130 if you can; if short on time, do the 40 rows marked priority = TRUE (shaded) first.</t>
        </is>
      </c>
    </row>
    <row r="5">
      <c r="A5" s="2" t="inlineStr">
        <is>
          <t>2. Pick accept or reject in human_verdict (yellow, dropdown). If rejecting, pick a reject_category and add a short note.</t>
        </is>
      </c>
    </row>
    <row r="6">
      <c r="A6" s="2" t="inlineStr">
        <is>
          <t>3. Judge the answer text only; the citation is in its own column. repaired = TRUE means the first version failed a check and was rewritten once, then re-judged by the same judge.</t>
        </is>
      </c>
    </row>
    <row r="7">
      <c r="A7" s="2" t="inlineStr">
        <is>
          <t>4. The Agreement sheet updates automatically: your accept rate and how often you agree with the automatic filters.</t>
        </is>
      </c>
    </row>
    <row r="8">
      <c r="A8" s="2" t="n"/>
    </row>
    <row r="9">
      <c r="A9" s="3" t="inlineStr">
        <is>
          <t>Accept a pair only if all three are true</t>
        </is>
      </c>
    </row>
    <row r="10">
      <c r="A10" s="2" t="inlineStr">
        <is>
          <t>Correct: the answer is fully supported by the evidence, with nothing added.</t>
        </is>
      </c>
    </row>
    <row r="11">
      <c r="A11" s="2" t="inlineStr">
        <is>
          <t>Standalone: the question makes sense to someone who has never seen the source.</t>
        </is>
      </c>
    </row>
    <row r="12">
      <c r="A12" s="2" t="inlineStr">
        <is>
          <t>Worth learning: it is about the domain (responsible AI, higher education), not trivia, study methodology or bibliography. A circular answer (it only restates the question) is not worth learning.</t>
        </is>
      </c>
    </row>
    <row r="13">
      <c r="A13" s="2" t="n"/>
    </row>
    <row r="14">
      <c r="A14" s="3" t="inlineStr">
        <is>
          <t>Reject categories</t>
        </is>
      </c>
    </row>
    <row r="15">
      <c r="A15" s="2" t="inlineStr">
        <is>
          <t>incorrect - answer contradicts or misreads the evidence</t>
        </is>
      </c>
    </row>
    <row r="16">
      <c r="A16" s="2" t="inlineStr">
        <is>
          <t>unsupported - answer adds claims the evidence does not make</t>
        </is>
      </c>
    </row>
    <row r="17">
      <c r="A17" s="2" t="inlineStr">
        <is>
          <t>not_standalone - question depends on unseen context ("the study", "what example is given")</t>
        </is>
      </c>
    </row>
    <row r="18">
      <c r="A18" s="2" t="inlineStr">
        <is>
          <t>low_value - trivial, methodology, bibliographic or appendix detail, or a circular answer</t>
        </is>
      </c>
    </row>
    <row r="19">
      <c r="A19" s="2" t="inlineStr">
        <is>
          <t>unclear - ambiguous, garbled, contrived or self-answering question</t>
        </is>
      </c>
    </row>
    <row r="20">
      <c r="A20" s="2" t="inlineStr">
        <is>
          <t>other - e.g. duplicate; explain in human_notes</t>
        </is>
      </c>
    </row>
    <row r="21">
      <c r="A21" s="2" t="n"/>
    </row>
    <row r="22">
      <c r="A22" s="3" t="inlineStr">
        <is>
          <t>When done</t>
        </is>
      </c>
    </row>
    <row r="23">
      <c r="A23" s="2" t="inlineStr">
        <is>
          <t>Save (keep .xlsx), copy into the project as data/qa_pairs/full_v1_review_reviewed.xlsx, and ask Claude Code to merge human_verdict, reject_category and human_notes by qa_id (sheet "Review"). Check that the Agreement sheet shows your rows as reviewed before saving.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4" customWidth="1" min="3" max="3"/>
    <col width="18" customWidth="1" min="4" max="4"/>
    <col width="30" customWidth="1" min="5" max="5"/>
    <col width="45" customWidth="1" min="6" max="6"/>
    <col width="55" customWidth="1" min="7" max="7"/>
    <col width="60" customWidth="1" min="8" max="8"/>
    <col width="22" customWidth="1" min="9" max="9"/>
    <col width="10" customWidth="1" min="10" max="10"/>
    <col width="10" customWidth="1" min="11" max="11"/>
    <col width="20" customWidth="1" min="12" max="12"/>
    <col width="12" customWidth="1" min="13" max="13"/>
    <col width="10" customWidth="1" min="14" max="14"/>
    <col width="18" customWidth="1" min="15" max="15"/>
    <col width="10" customWidth="1" min="16" max="16"/>
    <col width="8" customWidth="1" min="17" max="17"/>
    <col width="45" customWidth="1" min="18" max="18"/>
    <col width="35" customWidth="1" min="19" max="19"/>
    <col width="35" customWidth="1" min="20" max="20"/>
    <col width="18" customWidth="1" min="21" max="21"/>
    <col width="40" customWidth="1" min="22" max="22"/>
  </cols>
  <sheetData>
    <row r="1" ht="30" customHeight="1">
      <c r="A1" s="4" t="inlineStr">
        <is>
          <t>#</t>
        </is>
      </c>
      <c r="B1" s="4" t="inlineStr">
        <is>
          <t>priority</t>
        </is>
      </c>
      <c r="C1" s="4" t="inlineStr">
        <is>
          <t>human_verdict</t>
        </is>
      </c>
      <c r="D1" s="4" t="inlineStr">
        <is>
          <t>reject_category</t>
        </is>
      </c>
      <c r="E1" s="4" t="inlineStr">
        <is>
          <t>human_notes</t>
        </is>
      </c>
      <c r="F1" s="4" t="inlineStr">
        <is>
          <t>question</t>
        </is>
      </c>
      <c r="G1" s="4" t="inlineStr">
        <is>
          <t>answer</t>
        </is>
      </c>
      <c r="H1" s="4" t="inlineStr">
        <is>
          <t>evidence</t>
        </is>
      </c>
      <c r="I1" s="4" t="inlineStr">
        <is>
          <t>citation</t>
        </is>
      </c>
      <c r="J1" s="4" t="inlineStr">
        <is>
          <t>passed_filters</t>
        </is>
      </c>
      <c r="K1" s="4" t="inlineStr">
        <is>
          <t>repaired</t>
        </is>
      </c>
      <c r="L1" s="4" t="inlineStr">
        <is>
          <t>reject_reason</t>
        </is>
      </c>
      <c r="M1" s="4" t="inlineStr">
        <is>
          <t>q_type</t>
        </is>
      </c>
      <c r="N1" s="4" t="inlineStr">
        <is>
          <t>difficulty</t>
        </is>
      </c>
      <c r="O1" s="4" t="inlineStr">
        <is>
          <t>dimension</t>
        </is>
      </c>
      <c r="P1" s="4" t="inlineStr">
        <is>
          <t>grounding</t>
        </is>
      </c>
      <c r="Q1" s="4" t="inlineStr">
        <is>
          <t>value</t>
        </is>
      </c>
      <c r="R1" s="4" t="inlineStr">
        <is>
          <t>judge_rationale</t>
        </is>
      </c>
      <c r="S1" s="4" t="inlineStr">
        <is>
          <t>paraphrase_1</t>
        </is>
      </c>
      <c r="T1" s="4" t="inlineStr">
        <is>
          <t>paraphrase_2</t>
        </is>
      </c>
      <c r="U1" s="4" t="inlineStr">
        <is>
          <t>origin</t>
        </is>
      </c>
      <c r="V1" s="4" t="inlineStr">
        <is>
          <t>qa_id</t>
        </is>
      </c>
    </row>
    <row r="2">
      <c r="A2" s="5" t="n">
        <v>1</v>
      </c>
      <c r="B2" s="5" t="b">
        <v>1</v>
      </c>
      <c r="C2" s="6" t="n"/>
      <c r="D2" s="6" t="n"/>
      <c r="E2" s="5" t="n"/>
      <c r="F2" s="5" t="inlineStr">
        <is>
          <t>Why do findings from Chinese universities suggest AI-enabled assessment should not be treated as only a technical add-on?</t>
        </is>
      </c>
      <c r="G2" s="5" t="inlineStr">
        <is>
          <t>Institutional culture was positively associated with AI-based assessment practices (β = .49) and with meta-skills (β = .21). Governance and ethics readiness strengthened the assessment-meta-skills relationship. These findings position AI-enabled assessment as a culturally mediated dimension of academic management rather than a purely technical add-on.</t>
        </is>
      </c>
      <c r="H2" s="5" t="inlineStr">
        <is>
          <t>Institutional culture was positively associated with AI-based assessment practices (β = .49, R 2 = .24) and meta-skills (β = .21), while AI-based assessment practices were strongly associated with meta-skills (β = .58, R 2 = .55). … Governance and ethics readiness significantly strengthened the AI-based assessment-meta-skills relationship, and cross-tier comparisons showed a stronger culture-to-practice pathway in national key universities. … These findings position AI-enabled assessment as a culturally mediated dimension of academic management rather than a purely technical add-on.</t>
        </is>
      </c>
      <c r="I2" s="5" t="inlineStr">
        <is>
          <t>AI-enabled assessment in higher education: Institutional culture and student meta-skill readiness across university tiers, p. 1</t>
        </is>
      </c>
      <c r="J2" s="5" t="b">
        <v>0</v>
      </c>
      <c r="K2" s="5" t="b">
        <v>0</v>
      </c>
      <c r="L2" s="5" t="inlineStr">
        <is>
          <t>duplicate(answer cos=0.928 of ai-enabled-assessment-in-higher-education:0000:q1)</t>
        </is>
      </c>
      <c r="M2" s="5" t="inlineStr">
        <is>
          <t>explanation</t>
        </is>
      </c>
      <c r="N2" s="5" t="inlineStr">
        <is>
          <t>medium</t>
        </is>
      </c>
      <c r="O2" s="5" t="inlineStr">
        <is>
          <t>governance</t>
        </is>
      </c>
      <c r="P2" s="5" t="n">
        <v>5</v>
      </c>
      <c r="Q2" s="5" t="n">
        <v>4</v>
      </c>
      <c r="R2" s="5" t="inlineStr">
        <is>
          <t>Every statement in the answer (both beta values, the moderating role of governance and ethics readiness, and the concluding positioning) appears directly in the evidence. | The question identifies its context by content (findings from Chinese universities on AI-enabled assessment) and needs no unseen source references. | value: It covers a useful finding linking institutional culture and governance to AI-based assessment in higher education.</t>
        </is>
      </c>
      <c r="S2" s="5" t="inlineStr">
        <is>
          <t>What findings lead to AI-enabled assessment being viewed as more than a technical add-on in a study of Chinese universities?</t>
        </is>
      </c>
      <c r="T2" s="5" t="inlineStr">
        <is>
          <t>What do results from universities in China indicate about why AI-enabled assessment needs to be approached as more than just a technical supplement?</t>
        </is>
      </c>
      <c r="U2" s="5" t="inlineStr">
        <is>
          <t>full_v1</t>
        </is>
      </c>
      <c r="V2" s="5" t="inlineStr">
        <is>
          <t>ai-enabled-assessment-in-higher-education:0000:q4</t>
        </is>
      </c>
    </row>
    <row r="3">
      <c r="A3" s="5" t="n">
        <v>2</v>
      </c>
      <c r="B3" s="5" t="b">
        <v>0</v>
      </c>
      <c r="C3" s="6" t="n"/>
      <c r="D3" s="6" t="n"/>
      <c r="E3" s="5" t="n"/>
      <c r="F3" s="5" t="inlineStr">
        <is>
          <t>How did the explanatory power of the robustness test model for academic integrity cognition compare with the baseline regression?</t>
        </is>
      </c>
      <c r="G3" s="5" t="inlineStr">
        <is>
          <t>The robustness model had an R² of 0.406, marginally lower than the baseline's 0.485. It still explains 40.6% of the variance in academic integrity cognition, suggesting that it retains a degree of explanatory power.</t>
        </is>
      </c>
      <c r="H3" s="5" t="inlineStr">
        <is>
          <t>In the robustness test model, the R 2 value is 0.406, which is marginally lower than the 0.485 reported in the baseline regression. However, it still indicates that the model explains 40.6% of the variance in academic integrity cognition, suggesting that the model retains a degree of explanatory power.</t>
        </is>
      </c>
      <c r="I3" s="5" t="inlineStr">
        <is>
          <t>Artificial Intelligence and Accounting Education: Policy, Practice and Research, p. 202</t>
        </is>
      </c>
      <c r="J3" s="5" t="b">
        <v>0</v>
      </c>
      <c r="K3" s="5" t="b">
        <v>0</v>
      </c>
      <c r="L3" s="5" t="inlineStr">
        <is>
          <t>not_standalone(judge);low_value(2)</t>
        </is>
      </c>
      <c r="M3" s="5" t="inlineStr">
        <is>
          <t>explanation</t>
        </is>
      </c>
      <c r="N3" s="5" t="inlineStr">
        <is>
          <t>medium</t>
        </is>
      </c>
      <c r="O3" s="5" t="inlineStr">
        <is>
          <t>monitoring_improvement</t>
        </is>
      </c>
      <c r="P3" s="5" t="n">
        <v>5</v>
      </c>
      <c r="Q3" s="5" t="n">
        <v>2</v>
      </c>
      <c r="R3" s="5" t="inlineStr">
        <is>
          <t>Every statement in the answer is taken directly from the evidence: R² of 0.406 vs 0.485, 40.6% of variance explained, and retained explanatory power. | The question presupposes an unseen study by referring to 'the robustness test model' and 'the baseline regression' without identifying which study or model these belong to. | value: The pair covers a narrow statistical detail of one study's methodology rather than domain knowledge about responsible AI.</t>
        </is>
      </c>
      <c r="S3" s="5" t="inlineStr">
        <is>
          <t>How much variance did the robustness model explain relative to the baseline model for academic integrity cognition?</t>
        </is>
      </c>
      <c r="T3" s="5" t="inlineStr">
        <is>
          <t>What was the R² of the robustness model compared with the baseline, and what did it indicate?</t>
        </is>
      </c>
      <c r="U3" s="5" t="inlineStr">
        <is>
          <t>full_v1</t>
        </is>
      </c>
      <c r="V3" s="5" t="inlineStr">
        <is>
          <t>artificial-intelligence-and-accounting-education:0122:q3</t>
        </is>
      </c>
    </row>
    <row r="4">
      <c r="A4" s="5" t="n">
        <v>3</v>
      </c>
      <c r="B4" s="5" t="b">
        <v>0</v>
      </c>
      <c r="C4" s="6" t="n"/>
      <c r="D4" s="6" t="n"/>
      <c r="E4" s="5" t="n"/>
      <c r="F4" s="5" t="inlineStr">
        <is>
          <t>A ministry wants to adopt an educator AI competency framework developed elsewhere for equitable, scalable use across its universities. What kind of adaptation does the field call for?</t>
        </is>
      </c>
      <c r="G4" s="5" t="inlineStr">
        <is>
          <t>The field requires localized, interdisciplinary, and ethically informed adaptations of AI competency frameworks, validated in practice, to support equitable, scalable AI integration in education. This is needed because many frameworks skew technical, lack pedagogical grounding, or are STEM-centric, and few have been tested across diverse settings.</t>
        </is>
      </c>
      <c r="H4" s="5" t="inlineStr">
        <is>
          <t>The field thus requires localized, interdisciplinary, and ethically informed adaptations-validated in practice-to support equitable, scalable AI integration in education (Mikeladze et al., 2024; Wimmer et al., 2024). … Many frameworks skew technical, lack deep pedagogical grounding, or remain STEM-centric, constraining broader applicability (Zhou et al., 2024). … Empirical validation is also thin; for instance, few models have been rigorously tested across diverse national and institutional settings, especially in the Global South (Zhou et al., 2024).</t>
        </is>
      </c>
      <c r="I4" s="5" t="inlineStr">
        <is>
          <t>AI and Security in China’s Higher Education, p. 108</t>
        </is>
      </c>
      <c r="J4" s="5" t="b">
        <v>1</v>
      </c>
      <c r="K4" s="5" t="b">
        <v>0</v>
      </c>
      <c r="L4" s="5" t="inlineStr"/>
      <c r="M4" s="5" t="inlineStr">
        <is>
          <t>application</t>
        </is>
      </c>
      <c r="N4" s="5" t="inlineStr">
        <is>
          <t>hard</t>
        </is>
      </c>
      <c r="O4" s="5" t="inlineStr">
        <is>
          <t>equity_accessibility</t>
        </is>
      </c>
      <c r="P4" s="5" t="n">
        <v>4</v>
      </c>
      <c r="Q4" s="5" t="n">
        <v>4</v>
      </c>
      <c r="R4" s="5" t="inlineStr">
        <is>
          <t>The answer closely restates the evidence. Its explicit causal link ('This is needed because...') is a mild connective synthesis of separate sentences, though the evidence's 'thus' supports it. | The scenario is self-contained and 'the field' reads as the field of AI competency frameworks for educators. No source is presupposed. | value: It gives useful guidance on adapting educator AI competency frameworks equitably.</t>
        </is>
      </c>
      <c r="S4" s="5" t="inlineStr">
        <is>
          <t>A national education ministry plans to bring a foreign educator AI competency framework into its universities for equitable, scalable integration; what adaptations are needed?</t>
        </is>
      </c>
      <c r="T4" s="5" t="inlineStr">
        <is>
          <t>What type of adaptation of AI competency frameworks is needed to support equitable and scalable AI integration in a country's universities?</t>
        </is>
      </c>
      <c r="U4" s="5" t="inlineStr">
        <is>
          <t>full_v1</t>
        </is>
      </c>
      <c r="V4" s="5" t="inlineStr">
        <is>
          <t>ai-and-security-in-china-s-higher-education:0060:q4</t>
        </is>
      </c>
    </row>
    <row r="5">
      <c r="A5" s="5" t="n">
        <v>4</v>
      </c>
      <c r="B5" s="5" t="b">
        <v>1</v>
      </c>
      <c r="C5" s="6" t="n"/>
      <c r="D5" s="6" t="n"/>
      <c r="E5" s="5" t="n"/>
      <c r="F5" s="5" t="inlineStr">
        <is>
          <t>In a survey study on AI literacy, self-efficacy, and career expectations, how were AI-integrated academic programs operationally defined?</t>
        </is>
      </c>
      <c r="G5" s="5" t="inlineStr">
        <is>
          <t>AI-integrated programs were identified by their explicit inclusion of AI components, operationally defined as offering at least one mandatory course, module, or project focusing on AI concepts, technologies, or applications.</t>
        </is>
      </c>
      <c r="H5" s="5" t="inlineStr">
        <is>
          <t>These programs were systematically identified based on their explicit inclusion of AI components, operationally defined as offering at least one mandatory course, module, or project focusing on AI concepts, technologies, or applications.</t>
        </is>
      </c>
      <c r="I5" s="5" t="inlineStr">
        <is>
          <t>Empowered by AI: exploring the link between literacy, self-efficacy, and career expectations, p. 6</t>
        </is>
      </c>
      <c r="J5" s="5" t="b">
        <v>0</v>
      </c>
      <c r="K5" s="5" t="b">
        <v>0</v>
      </c>
      <c r="L5" s="5" t="inlineStr">
        <is>
          <t>low_value(2)</t>
        </is>
      </c>
      <c r="M5" s="5" t="inlineStr">
        <is>
          <t>definition</t>
        </is>
      </c>
      <c r="N5" s="5" t="inlineStr">
        <is>
          <t>medium</t>
        </is>
      </c>
      <c r="O5" s="5" t="inlineStr">
        <is>
          <t>teaching_learning</t>
        </is>
      </c>
      <c r="P5" s="5" t="n">
        <v>5</v>
      </c>
      <c r="Q5" s="5" t="n">
        <v>2</v>
      </c>
      <c r="R5" s="5" t="inlineStr">
        <is>
          <t>The answer directly restates the evidence's operational definition. | The question names the study by its content and asks a clear question without referencing unseen context. | value: This is research methodology detail about sample inclusion criteria.</t>
        </is>
      </c>
      <c r="S5" s="5" t="inlineStr">
        <is>
          <t>What criterion did a study of AI literacy, self-efficacy, and career expectations use to identify AI-integrated academic programs?</t>
        </is>
      </c>
      <c r="T5" s="5" t="inlineStr">
        <is>
          <t>In research linking AI literacy, self-efficacy, and career expectations, what counted as an AI-integrated academic program?</t>
        </is>
      </c>
      <c r="U5" s="5" t="inlineStr">
        <is>
          <t>full_v1</t>
        </is>
      </c>
      <c r="V5" s="5" t="inlineStr">
        <is>
          <t>empowered-by-ai-exploring-the-link-between:0009:q1</t>
        </is>
      </c>
    </row>
    <row r="6">
      <c r="A6" s="5" t="n">
        <v>5</v>
      </c>
      <c r="B6" s="5" t="b">
        <v>1</v>
      </c>
      <c r="C6" s="6" t="n"/>
      <c r="D6" s="6" t="n"/>
      <c r="E6" s="5" t="n"/>
      <c r="F6" s="5" t="inlineStr">
        <is>
          <t>What was the size of the initial item pool of the AI Competence Scale before experts removed items during content validation?</t>
        </is>
      </c>
      <c r="G6" s="5" t="inlineStr">
        <is>
          <t>The AI Competence Scale's initial pool contained 35 items, from which experts removed two after content validation.</t>
        </is>
      </c>
      <c r="H6" s="5" t="inlineStr">
        <is>
          <t>Following the evaluations, the expert recommended the removal of two items due to concerns related to technical complexity or conceptual vagueness.</t>
        </is>
      </c>
      <c r="I6" s="5" t="inlineStr">
        <is>
          <t>Measuring students' AI competence: Development and validation of a multidimensional scale integrating educational psychology perspectives, p. 7</t>
        </is>
      </c>
      <c r="J6" s="5" t="b">
        <v>0</v>
      </c>
      <c r="K6" s="5" t="b">
        <v>0</v>
      </c>
      <c r="L6" s="5" t="inlineStr">
        <is>
          <t>grounding(2);low_value(2)</t>
        </is>
      </c>
      <c r="M6" s="5" t="inlineStr">
        <is>
          <t>definition</t>
        </is>
      </c>
      <c r="N6" s="5" t="inlineStr">
        <is>
          <t>easy</t>
        </is>
      </c>
      <c r="O6" s="5" t="inlineStr">
        <is>
          <t>student_ai_literacy</t>
        </is>
      </c>
      <c r="P6" s="5" t="n">
        <v>2</v>
      </c>
      <c r="Q6" s="5" t="n">
        <v>2</v>
      </c>
      <c r="R6" s="5" t="inlineStr">
        <is>
          <t>The evidence states only that two items were removed. The answer's central claim, that the initial pool contained 35 items, is not in the evidence. | The question names the specific scale and the stage it refers to, so it is understandable without the source. | value: This is a narrow research-methodology detail about scale development.</t>
        </is>
      </c>
      <c r="S6" s="5" t="inlineStr">
        <is>
          <t>How many items were in the AI Competence Scale's initial pool before content validation removals?</t>
        </is>
      </c>
      <c r="T6" s="5" t="inlineStr">
        <is>
          <t>Before experts removed any items in content validation, how large was the AI Competence Scale's item pool?</t>
        </is>
      </c>
      <c r="U6" s="5" t="inlineStr">
        <is>
          <t>full_v1</t>
        </is>
      </c>
      <c r="V6" s="5" t="inlineStr">
        <is>
          <t>measuring-students-ai-competence-development:0013:q4</t>
        </is>
      </c>
    </row>
    <row r="7">
      <c r="A7" s="5" t="n">
        <v>6</v>
      </c>
      <c r="B7" s="5" t="b">
        <v>0</v>
      </c>
      <c r="C7" s="6" t="n"/>
      <c r="D7" s="6" t="n"/>
      <c r="E7" s="5" t="n"/>
      <c r="F7" s="5" t="inlineStr">
        <is>
          <t>A university plans to use AI to screen admissions applications, trained on past data from a mostly majority-group applicant pool and weighting high test scores. What bias risk applies?</t>
        </is>
      </c>
      <c r="G7" s="5" t="inlineStr">
        <is>
          <t>Using AI in admissions might result in bias if the criteria are based on high test scores that favor certain groups. If the AI is trained on data reflecting a majority group, it can unintentionally exclude minorities, reinforcing existing biases and creating a cycle of discrimination.</t>
        </is>
      </c>
      <c r="H7" s="5" t="inlineStr">
        <is>
          <t>Using AI in school admissions, for example, might result in bias if the criteria are based on high test scores that favor certain groups. If AI is trained on data reflecting a majority group, it can unintentionally exclude minorities, reinforcing existing biases and creating a cycle of discrimination.</t>
        </is>
      </c>
      <c r="I7" s="5" t="inlineStr">
        <is>
          <t>AI in higher education: A bibliometric analysis, synthesis, and a critique of research ☆, p. 10</t>
        </is>
      </c>
      <c r="J7" s="5" t="b">
        <v>1</v>
      </c>
      <c r="K7" s="5" t="b">
        <v>0</v>
      </c>
      <c r="L7" s="5" t="inlineStr"/>
      <c r="M7" s="5" t="inlineStr">
        <is>
          <t>application</t>
        </is>
      </c>
      <c r="N7" s="5" t="inlineStr">
        <is>
          <t>hard</t>
        </is>
      </c>
      <c r="O7" s="5" t="inlineStr">
        <is>
          <t>equity_accessibility</t>
        </is>
      </c>
      <c r="P7" s="5" t="n">
        <v>5</v>
      </c>
      <c r="Q7" s="5" t="n">
        <v>4</v>
      </c>
      <c r="R7" s="5" t="inlineStr">
        <is>
          <t>The answer restates the evidence nearly verbatim. Changing "school admissions" to "admissions" is trivial. | The question describes a self-contained scenario and does not refer to any source. | value: It is a useful applied example of algorithmic bias in admissions.</t>
        </is>
      </c>
      <c r="S7" s="5" t="inlineStr">
        <is>
          <t>If a university trains an admissions-screening AI on data reflecting a majority group and relies on high test scores, what risk of bias arises?</t>
        </is>
      </c>
      <c r="T7" s="5" t="inlineStr">
        <is>
          <t>A college wants AI to help select applicants, using majority-group data and high test score criteria. What bias problem could result?</t>
        </is>
      </c>
      <c r="U7" s="5" t="inlineStr">
        <is>
          <t>full_v1</t>
        </is>
      </c>
      <c r="V7" s="5" t="inlineStr">
        <is>
          <t>ai-in-higher-education-a-bibliometric-analysis:0018:q2</t>
        </is>
      </c>
    </row>
    <row r="8">
      <c r="A8" s="5" t="n">
        <v>7</v>
      </c>
      <c r="B8" s="5" t="b">
        <v>1</v>
      </c>
      <c r="C8" s="6" t="n"/>
      <c r="D8" s="6" t="n"/>
      <c r="E8" s="5" t="n"/>
      <c r="F8" s="5" t="inlineStr">
        <is>
          <t>In a credit scoring system, what practices are recommended for building accountability around the algorithm and its developers?</t>
        </is>
      </c>
      <c r="G8" s="5" t="inlineStr">
        <is>
          <t>Regular audits should assess the algorithm's fairness and accuracy, identifying and rectifying any biases or unintended consequences. Developers should also be well-versed in ethical AI practices through continuous education and training programs. Without accountability, developers may neglect biases in the system, leading to financial and ethical consequences.</t>
        </is>
      </c>
      <c r="H8" s="5" t="inlineStr">
        <is>
          <t>Conduct regular audits to assess the fairness and accuracy of the algorithm, identifying and rectifying any biases or unintended consequences. … Ensure that developers are well-versed in ethical AI practices through continuous education and training programs. … Without accountability, developers may neglect biases in the system, leading to financial and ethical consequences.</t>
        </is>
      </c>
      <c r="I8" s="5" t="inlineStr">
        <is>
          <t>Towards Ethical and Socially Responsible Explainable AI, p. 363</t>
        </is>
      </c>
      <c r="J8" s="5" t="b">
        <v>0</v>
      </c>
      <c r="K8" s="5" t="b">
        <v>1</v>
      </c>
      <c r="L8" s="5" t="inlineStr">
        <is>
          <t>not_standalone(prefilter:'are recommended')</t>
        </is>
      </c>
      <c r="M8" s="5" t="inlineStr">
        <is>
          <t>definition</t>
        </is>
      </c>
      <c r="N8" s="5" t="inlineStr">
        <is>
          <t>medium</t>
        </is>
      </c>
      <c r="O8" s="5" t="inlineStr">
        <is>
          <t>governance</t>
        </is>
      </c>
      <c r="P8" s="5" t="n"/>
      <c r="Q8" s="5" t="n"/>
      <c r="R8" s="5" t="inlineStr"/>
      <c r="S8" s="5" t="inlineStr">
        <is>
          <t>Which practices are advised for establishing accountability for the algorithm and its developers in a credit scoring system?</t>
        </is>
      </c>
      <c r="T8" s="5" t="inlineStr">
        <is>
          <t>What should be done to build accountability regarding the algorithm and the developers of a credit scoring system?</t>
        </is>
      </c>
      <c r="U8" s="5" t="inlineStr">
        <is>
          <t>full_v1</t>
        </is>
      </c>
      <c r="V8" s="5" t="inlineStr">
        <is>
          <t>towards-ethical:0213:q0</t>
        </is>
      </c>
    </row>
    <row r="9">
      <c r="A9" s="5" t="n">
        <v>8</v>
      </c>
      <c r="B9" s="5" t="b">
        <v>1</v>
      </c>
      <c r="C9" s="6" t="n"/>
      <c r="D9" s="6" t="n"/>
      <c r="E9" s="5" t="n"/>
      <c r="F9" s="5" t="inlineStr">
        <is>
          <t>What is required to achieve trustworthy learning analytics, and whose perspectives should be considered?</t>
        </is>
      </c>
      <c r="G9" s="5" t="inlineStr">
        <is>
          <t>Algorithms need to be explainable and learning analytics trustworthy. To achieve this trustworthiness, a human-centred lens should be taken, considering the perspectives of potential beneficiaries, primarily learners.</t>
        </is>
      </c>
      <c r="H9" s="5" t="inlineStr">
        <is>
          <t>As such, it is essential that algorithms are explainable [9], and learning analytics trustworthy. To achieve this trustworthiness, we should take a look through the human-centred lens and consider the perspectives of potential beneficiaries, primarily learners [10].</t>
        </is>
      </c>
      <c r="I9" s="5" t="inlineStr">
        <is>
          <t>Artificial Intelligence in Education. Posters and Late Breaking Results, Workshops and Tutorials, Industry and Innovation Tracks, Practitioners, Doctoral Consortium and Blue Sky, p. 27</t>
        </is>
      </c>
      <c r="J9" s="5" t="b">
        <v>1</v>
      </c>
      <c r="K9" s="5" t="b">
        <v>0</v>
      </c>
      <c r="L9" s="5" t="inlineStr"/>
      <c r="M9" s="5" t="inlineStr">
        <is>
          <t>factual</t>
        </is>
      </c>
      <c r="N9" s="5" t="inlineStr">
        <is>
          <t>easy</t>
        </is>
      </c>
      <c r="O9" s="5" t="inlineStr">
        <is>
          <t>governance</t>
        </is>
      </c>
      <c r="P9" s="5" t="n">
        <v>5</v>
      </c>
      <c r="Q9" s="5" t="n">
        <v>4</v>
      </c>
      <c r="R9" s="5" t="inlineStr">
        <is>
          <t>The answer closely restates the evidence: explainable algorithms, a human-centred lens, and beneficiaries' perspectives, primarily learners. | The question is clear without the source and uses no undefined references or acronyms. | value: Useful responsible-AI guidance on human-centred, trustworthy learning analytics.</t>
        </is>
      </c>
      <c r="S9" s="5" t="inlineStr">
        <is>
          <t>How can learning analytics be made trustworthy, and whose viewpoints matter?</t>
        </is>
      </c>
      <c r="T9" s="5" t="inlineStr">
        <is>
          <t>What does it take to realize trustworthy learning analytics, and which stakeholders' viewpoints need to be taken into account?</t>
        </is>
      </c>
      <c r="U9" s="5" t="inlineStr">
        <is>
          <t>full_v1</t>
        </is>
      </c>
      <c r="V9" s="5" t="inlineStr">
        <is>
          <t>artificial-intelligence-bceaf5:0039:q3</t>
        </is>
      </c>
    </row>
    <row r="10">
      <c r="A10" s="5" t="n">
        <v>9</v>
      </c>
      <c r="B10" s="5" t="b">
        <v>1</v>
      </c>
      <c r="C10" s="6" t="n"/>
      <c r="D10" s="6" t="n"/>
      <c r="E10" s="5" t="n"/>
      <c r="F10" s="5" t="inlineStr">
        <is>
          <t>Why is the challenge for GenAI feedback systems in education framed as repoliticising them rather than perfecting them?</t>
        </is>
      </c>
      <c r="G10" s="5" t="inlineStr">
        <is>
          <t>The challenge is framed as not perfecting GenAI feedback systems but repoliticising them, recognising and treating them as contested spaces of epistemic struggle rather than as neutral technological inevitabilities. The reason given is that feedback, in any form, is never purely mechanical; it is always relational, cultural, and political.</t>
        </is>
      </c>
      <c r="H10" s="5" t="inlineStr">
        <is>
          <t>The challenge ahead is not to perfect GenAI feedback systems, but to repoliticise them, to recognise and treat these tools as contested spaces of epistemic struggle, rather than as neutral technological inevitabilities. Feedback, in any form, is never purely mechanical; it is always relational, cultural, and political.</t>
        </is>
      </c>
      <c r="I10" s="5" t="inlineStr">
        <is>
          <t>Innovative Educational Assessment with Generative AI: Opportunities, Challenges, and Practical Case Studies, p. 56</t>
        </is>
      </c>
      <c r="J10" s="5" t="b">
        <v>1</v>
      </c>
      <c r="K10" s="5" t="b">
        <v>1</v>
      </c>
      <c r="L10" s="5" t="inlineStr"/>
      <c r="M10" s="5" t="inlineStr">
        <is>
          <t>explanation</t>
        </is>
      </c>
      <c r="N10" s="5" t="inlineStr">
        <is>
          <t>medium</t>
        </is>
      </c>
      <c r="O10" s="5" t="inlineStr">
        <is>
          <t>equity_accessibility</t>
        </is>
      </c>
      <c r="P10" s="5" t="n">
        <v>4</v>
      </c>
      <c r="Q10" s="5" t="n">
        <v>4</v>
      </c>
      <c r="R10" s="5" t="inlineStr">
        <is>
          <t>The answer closely restates the evidence. It presents the second sentence as 'the reason given', a mild connective framing that the evidence implies through adjacency but does not state explicitly. | The question is clear without the source and needs no reference to unseen context. | value: It conveys a substantive critical perspective on GenAI feedback in education.</t>
        </is>
      </c>
      <c r="S10" s="5" t="inlineStr">
        <is>
          <t>What reasoning supports repoliticising GenAI feedback systems in education instead of trying to perfect them?</t>
        </is>
      </c>
      <c r="T10" s="5" t="inlineStr">
        <is>
          <t>What is the reason for describing the task facing GenAI feedback systems in education as one of repoliticising them instead of making them better or more perfect?</t>
        </is>
      </c>
      <c r="U10" s="5" t="inlineStr">
        <is>
          <t>full_v1</t>
        </is>
      </c>
      <c r="V10" s="5" t="inlineStr">
        <is>
          <t>innovative-educational:0026:q0</t>
        </is>
      </c>
    </row>
    <row r="11">
      <c r="A11" s="5" t="n">
        <v>10</v>
      </c>
      <c r="B11" s="5" t="b">
        <v>0</v>
      </c>
      <c r="C11" s="6" t="n"/>
      <c r="D11" s="6" t="n"/>
      <c r="E11" s="5" t="n"/>
      <c r="F11" s="5" t="inlineStr">
        <is>
          <t>A university's data team wants to ensure an AI admissions tool adheres to non-discriminatory practices. What kinds of mechanisms for detecting and mitigating bias can they use?</t>
        </is>
      </c>
      <c r="G11" s="5" t="inlineStr">
        <is>
          <t>Robust mechanisms for detecting and mitigating biases can play a pivotal role in ensuring AI systems adhere to non-discriminatory practices. These measures often involve fairness-aware algorithms, bias detection tools, and comprehensive data validation procedures that scrutinize the underlying data for any potential discriminatory patterns.</t>
        </is>
      </c>
      <c r="H11" s="5" t="inlineStr">
        <is>
          <t>Additionally, the development of robust mechanisms for detecting and mitigating biases can play a pivotal role in ensuring that AI systems adhere to non-discriminatory practices. These measures often involve the use of fairness-aware algorithms, bias detection tools, and comprehensive data validation procedures that scrutinize the underlying data for any potential discriminatory patterns [12].</t>
        </is>
      </c>
      <c r="I11" s="5" t="inlineStr">
        <is>
          <t>Towards Ethical and Socially Responsible Explainable AI, p. 187</t>
        </is>
      </c>
      <c r="J11" s="5" t="b">
        <v>1</v>
      </c>
      <c r="K11" s="5" t="b">
        <v>0</v>
      </c>
      <c r="L11" s="5" t="inlineStr"/>
      <c r="M11" s="5" t="inlineStr">
        <is>
          <t>application</t>
        </is>
      </c>
      <c r="N11" s="5" t="inlineStr">
        <is>
          <t>hard</t>
        </is>
      </c>
      <c r="O11" s="5" t="inlineStr">
        <is>
          <t>monitoring_improvement</t>
        </is>
      </c>
      <c r="P11" s="5" t="n">
        <v>5</v>
      </c>
      <c r="Q11" s="5" t="n">
        <v>4</v>
      </c>
      <c r="R11" s="5" t="inlineStr">
        <is>
          <t>The answer closely restates the evidence, which names fairness-aware algorithms, bias detection tools and data validation procedures. | The question describes a self-contained scenario and does not refer to any unseen source. | value: It gives useful, practical bias-mitigation knowledge for AI in admissions.</t>
        </is>
      </c>
      <c r="S11" s="5" t="inlineStr">
        <is>
          <t>An institution's data team wants its AI admissions tool to follow non-discriminatory practices. Which bias detection and mitigation measures can they employ?</t>
        </is>
      </c>
      <c r="T11" s="5" t="inlineStr">
        <is>
          <t>What tools and procedures can a university use to detect and mitigate bias so that an AI admissions system stays non-discriminatory?</t>
        </is>
      </c>
      <c r="U11" s="5" t="inlineStr">
        <is>
          <t>full_v1</t>
        </is>
      </c>
      <c r="V11" s="5" t="inlineStr">
        <is>
          <t>towards-ethical:0098:q3</t>
        </is>
      </c>
    </row>
    <row r="12">
      <c r="A12" s="5" t="n">
        <v>11</v>
      </c>
      <c r="B12" s="5" t="b">
        <v>1</v>
      </c>
      <c r="C12" s="6" t="n"/>
      <c r="D12" s="6" t="n"/>
      <c r="E12" s="5" t="n"/>
      <c r="F12" s="5" t="inlineStr">
        <is>
          <t>What learning analytics dashboard indicators were used to characterize engagement with an ingestion-extraction-comparison-thesis application workflow?</t>
        </is>
      </c>
      <c r="G12" s="5" t="inlineStr">
        <is>
          <t>Indicators included the number of documents processed, extraction completion counts, extraction iterations, search actions, and daily activity trends. They characterized engagement and progression through the ingestion-extraction-comparison-thesis application workflow.</t>
        </is>
      </c>
      <c r="H12" s="5" t="inlineStr">
        <is>
          <t>RQ3 was answered by assessing learning analytics dashboard indicators, such as the number of documents processed, extraction completion counts, extraction iterations, search actions, and daily activity trends, to characterize engagement and progression through the ingestion-extraction-comparison-thesis application workflow.</t>
        </is>
      </c>
      <c r="I12" s="5" t="inlineStr">
        <is>
          <t>From literature to research-based learning: An AI-powered information extraction system to enhance undergraduate thesis completion, p. 4</t>
        </is>
      </c>
      <c r="J12" s="5" t="b">
        <v>1</v>
      </c>
      <c r="K12" s="5" t="b">
        <v>0</v>
      </c>
      <c r="L12" s="5" t="inlineStr"/>
      <c r="M12" s="5" t="inlineStr">
        <is>
          <t>factual</t>
        </is>
      </c>
      <c r="N12" s="5" t="inlineStr">
        <is>
          <t>easy</t>
        </is>
      </c>
      <c r="O12" s="5" t="inlineStr">
        <is>
          <t>monitoring_improvement</t>
        </is>
      </c>
      <c r="P12" s="5" t="n">
        <v>5</v>
      </c>
      <c r="Q12" s="5" t="n">
        <v>3</v>
      </c>
      <c r="R12" s="5" t="inlineStr">
        <is>
          <t>The answer restates the indicators and their purpose exactly as the evidence gives them. | The workflow is identified by its content (ingestion-extraction-comparison-thesis). The question uses no source-referencing language. | value: These are study-specific learning analytics engagement measures, which are useful but narrow and lean toward methodology.</t>
        </is>
      </c>
      <c r="S12" s="5" t="inlineStr">
        <is>
          <t>Which dashboard indicators characterized engagement and progression through the ingestion-extraction-comparison-thesis workflow?</t>
        </is>
      </c>
      <c r="T12" s="5" t="inlineStr">
        <is>
          <t>Which learning analytics dashboard indicators were used to characterize engagement with an application workflow of ingestion, extraction, comparison and thesis?</t>
        </is>
      </c>
      <c r="U12" s="5" t="inlineStr">
        <is>
          <t>full_v1</t>
        </is>
      </c>
      <c r="V12" s="5" t="inlineStr">
        <is>
          <t>from-literature-to-research-based-learning:0005:q3</t>
        </is>
      </c>
    </row>
    <row r="13">
      <c r="A13" s="5" t="n">
        <v>12</v>
      </c>
      <c r="B13" s="5" t="b">
        <v>1</v>
      </c>
      <c r="C13" s="6" t="n"/>
      <c r="D13" s="6" t="n"/>
      <c r="E13" s="5" t="n"/>
      <c r="F13" s="5" t="inlineStr">
        <is>
          <t>How can ChatGPT be prompted to present a rubric's criteria and grade ranges in a table?</t>
        </is>
      </c>
      <c r="G13" s="5" t="inlineStr">
        <is>
          <t>ChatGPT can be prompted to "Bring the criteria and grade ranges together in tabular form. Put the grade range in columns and remember to indicate the weight of each criterion".</t>
        </is>
      </c>
      <c r="H13" s="5" t="inlineStr">
        <is>
          <t>It may be easier to do this in a table which we can generate by prompting ChatGPT to "Bring the criteria and grade ranges together in tabular form. Put the grade range in columns and remember to indicate the weight of each criterion".</t>
        </is>
      </c>
      <c r="I13" s="5" t="inlineStr">
        <is>
          <t>Generative AI in Higher Education Innovation Strategies for Teaching and Learning, p. 130</t>
        </is>
      </c>
      <c r="J13" s="5" t="b">
        <v>1</v>
      </c>
      <c r="K13" s="5" t="b">
        <v>0</v>
      </c>
      <c r="L13" s="5" t="inlineStr"/>
      <c r="M13" s="5" t="inlineStr">
        <is>
          <t>factual</t>
        </is>
      </c>
      <c r="N13" s="5" t="inlineStr">
        <is>
          <t>easy</t>
        </is>
      </c>
      <c r="O13" s="5" t="inlineStr">
        <is>
          <t>assessment</t>
        </is>
      </c>
      <c r="P13" s="5" t="n">
        <v>5</v>
      </c>
      <c r="Q13" s="5" t="n">
        <v>3</v>
      </c>
      <c r="R13" s="5" t="inlineStr">
        <is>
          <t>The answer quotes the prompt directly from the evidence. | The question is clear without the source; ChatGPT and rubric are well-known terms. | value: It is a practical but narrow tip on using AI for rubric design.</t>
        </is>
      </c>
      <c r="S13" s="5" t="inlineStr">
        <is>
          <t>What prompt can be used to have ChatGPT reformat a rubric into tabular form with grade ranges as columns?</t>
        </is>
      </c>
      <c r="T13" s="5" t="inlineStr">
        <is>
          <t>How can an instructor ask ChatGPT to put rubric criteria and grade ranges together in a table that shows weights?</t>
        </is>
      </c>
      <c r="U13" s="5" t="inlineStr">
        <is>
          <t>full_v1</t>
        </is>
      </c>
      <c r="V13" s="5" t="inlineStr">
        <is>
          <t>generative-ai-in-higher-education-64e6b1:0054:q4</t>
        </is>
      </c>
    </row>
    <row r="14">
      <c r="A14" s="5" t="n">
        <v>13</v>
      </c>
      <c r="B14" s="5" t="b">
        <v>1</v>
      </c>
      <c r="C14" s="6" t="n"/>
      <c r="D14" s="6" t="n"/>
      <c r="E14" s="5" t="n"/>
      <c r="F14" s="5" t="inlineStr">
        <is>
          <t>How do the principles of AIED Unplugged ensure accessibility for users in regions with limited digital infrastructure?</t>
        </is>
      </c>
      <c r="G14" s="5" t="inlineStr">
        <is>
          <t>AIED Unplugged is built on the principles of Conformity, Disconnect, Proxy, Multi-User, and Unskillfulness. They ensure accessibility by aligning with existing infrastructure, operating offline, simplifying interfaces, and accommodating users' digital skills.</t>
        </is>
      </c>
      <c r="H14" s="5" t="inlineStr">
        <is>
          <t>AIED Unplugged incorporates principles like Conformity, Disconnect, Proxy, Multi-User, and Unskillfulness, ensuring accessibility by aligning with existing infrastructure, operating offline, simplifying interfaces, and accommodating users' digital skills.</t>
        </is>
      </c>
      <c r="I14" s="5" t="inlineStr">
        <is>
          <t>Artificial Intelligence in Education. Posters and Late Breaking Results, Workshops and Tutorials, Industry and Innovation Tracks, Practitioners, Doctoral Consortium and Blue Sky, p. 176</t>
        </is>
      </c>
      <c r="J14" s="5" t="b">
        <v>1</v>
      </c>
      <c r="K14" s="5" t="b">
        <v>0</v>
      </c>
      <c r="L14" s="5" t="inlineStr"/>
      <c r="M14" s="5" t="inlineStr">
        <is>
          <t>explanation</t>
        </is>
      </c>
      <c r="N14" s="5" t="inlineStr">
        <is>
          <t>medium</t>
        </is>
      </c>
      <c r="O14" s="5" t="inlineStr">
        <is>
          <t>equity_accessibility</t>
        </is>
      </c>
      <c r="P14" s="5" t="n">
        <v>4</v>
      </c>
      <c r="Q14" s="5" t="n">
        <v>4</v>
      </c>
      <c r="R14" s="5" t="inlineStr">
        <is>
          <t>The answer closely restates the evidence. Saying it is 'built on' the principles slightly overstates the evidence's 'incorporates principles like', which may not be an exhaustive list. | The question names a specific framework, AIED Unplugged, and asks a clear question without referring to an unseen source. | value: It is useful domain knowledge about designing accessible AI-in-education systems for low-infrastructure contexts.</t>
        </is>
      </c>
      <c r="S14" s="5" t="inlineStr">
        <is>
          <t>In what ways do the AIED Unplugged principles make AI-based education accessible?</t>
        </is>
      </c>
      <c r="T14" s="5" t="inlineStr">
        <is>
          <t>How does AIED Unplugged, through its five principles, achieve accessibility?</t>
        </is>
      </c>
      <c r="U14" s="5" t="inlineStr">
        <is>
          <t>full_v1</t>
        </is>
      </c>
      <c r="V14" s="5" t="inlineStr">
        <is>
          <t>artificial-intelligence-bceaf5:0129:q1</t>
        </is>
      </c>
    </row>
    <row r="15">
      <c r="A15" s="5" t="n">
        <v>14</v>
      </c>
      <c r="B15" s="5" t="b">
        <v>0</v>
      </c>
      <c r="C15" s="6" t="n"/>
      <c r="D15" s="6" t="n"/>
      <c r="E15" s="5" t="n"/>
      <c r="F15" s="5" t="inlineStr">
        <is>
          <t>What challenges may AI technologies bring for students when they have to learn and use them?</t>
        </is>
      </c>
      <c r="G15" s="5" t="inlineStr">
        <is>
          <t>The main challenges include learning new technology, lack of technological competency, and intimidation by learning new technology. They also include confusion and resistance about looking for appropriate help online, and difficulty understanding directions and expectations while using AI systems.</t>
        </is>
      </c>
      <c r="H15" s="5" t="inlineStr">
        <is>
          <t>Challenge-Challenge of learning new technology, lack of technological competency, intimidation by learning new technology, confusion and resistance about looking for appropriate help online, and difficulty understanding directions and expectations while using AI systems are highlighted as some of the main challenges that AI technologies may bring for students.</t>
        </is>
      </c>
      <c r="I15" s="5" t="inlineStr">
        <is>
          <t>Artificial Intelligence and Higher Education: The Impact of AI on Business Students Learning, p. 94</t>
        </is>
      </c>
      <c r="J15" s="5" t="b">
        <v>1</v>
      </c>
      <c r="K15" s="5" t="b">
        <v>0</v>
      </c>
      <c r="L15" s="5" t="inlineStr"/>
      <c r="M15" s="5" t="inlineStr">
        <is>
          <t>definition</t>
        </is>
      </c>
      <c r="N15" s="5" t="inlineStr">
        <is>
          <t>medium</t>
        </is>
      </c>
      <c r="O15" s="5" t="inlineStr">
        <is>
          <t>student_ai_literacy</t>
        </is>
      </c>
      <c r="P15" s="5" t="n">
        <v>5</v>
      </c>
      <c r="Q15" s="5" t="n">
        <v>4</v>
      </c>
      <c r="R15" s="5" t="inlineStr">
        <is>
          <t>The answer restates the listed challenges directly from the evidence, with only minor rewording. | The question is self-contained and does not refer to any unseen source. | value: It identifies useful student-facing challenges of AI adoption in education.</t>
        </is>
      </c>
      <c r="S15" s="5" t="inlineStr">
        <is>
          <t>Which main difficulties for students may arise from AI technologies?</t>
        </is>
      </c>
      <c r="T15" s="5" t="inlineStr">
        <is>
          <t>What are the main student-facing challenges that AI systems may create?</t>
        </is>
      </c>
      <c r="U15" s="5" t="inlineStr">
        <is>
          <t>full_v1</t>
        </is>
      </c>
      <c r="V15" s="5" t="inlineStr">
        <is>
          <t>artificial-intelligence-and-higher-education:0051:q2</t>
        </is>
      </c>
    </row>
    <row r="16">
      <c r="A16" s="5" t="n">
        <v>15</v>
      </c>
      <c r="B16" s="5" t="b">
        <v>1</v>
      </c>
      <c r="C16" s="6" t="n"/>
      <c r="D16" s="6" t="n"/>
      <c r="E16" s="5" t="n"/>
      <c r="F16" s="5" t="inlineStr">
        <is>
          <t>How much more likely are students exposed to AI concepts before high school to pursue AI-related degrees?</t>
        </is>
      </c>
      <c r="G16" s="5" t="inlineStr">
        <is>
          <t>Students exposed to AI concepts before high school are 3.5 times more likely to pursue AI-related degrees.</t>
        </is>
      </c>
      <c r="H16" s="5" t="inlineStr">
        <is>
          <t>Studies demonstrate that students exposed to AI concepts before high school are 3.5 times more likely to pursue AI-related degrees [22].</t>
        </is>
      </c>
      <c r="I16" s="5" t="inlineStr">
        <is>
          <t>Higher Education in the Arab World, p. 111</t>
        </is>
      </c>
      <c r="J16" s="5" t="b">
        <v>1</v>
      </c>
      <c r="K16" s="5" t="b">
        <v>0</v>
      </c>
      <c r="L16" s="5" t="inlineStr"/>
      <c r="M16" s="5" t="inlineStr">
        <is>
          <t>factual</t>
        </is>
      </c>
      <c r="N16" s="5" t="inlineStr">
        <is>
          <t>easy</t>
        </is>
      </c>
      <c r="O16" s="5" t="inlineStr">
        <is>
          <t>student_ai_literacy</t>
        </is>
      </c>
      <c r="P16" s="5" t="n">
        <v>5</v>
      </c>
      <c r="Q16" s="5" t="n">
        <v>3</v>
      </c>
      <c r="R16" s="5" t="inlineStr">
        <is>
          <t>The answer directly restates the evidence's claim of 3.5 times greater likelihood. | The question is self-contained and does not refer to any unseen source. | value: It is a narrow statistic about early AI exposure and degree choice, acceptable but specific.</t>
        </is>
      </c>
      <c r="S16" s="5" t="inlineStr">
        <is>
          <t>What likelihood increase for pursuing AI-related degrees is found among students who meet AI concepts before high school?</t>
        </is>
      </c>
      <c r="T16" s="5" t="inlineStr">
        <is>
          <t>Students introduced to AI before high school are how many times more likely to pursue AI degrees?</t>
        </is>
      </c>
      <c r="U16" s="5" t="inlineStr">
        <is>
          <t>full_v1</t>
        </is>
      </c>
      <c r="V16" s="5" t="inlineStr">
        <is>
          <t>higher-education-in-arab:0060:q2</t>
        </is>
      </c>
    </row>
    <row r="17">
      <c r="A17" s="5" t="n">
        <v>16</v>
      </c>
      <c r="B17" s="5" t="b">
        <v>0</v>
      </c>
      <c r="C17" s="6" t="n"/>
      <c r="D17" s="6" t="n"/>
      <c r="E17" s="5" t="n"/>
      <c r="F17" s="5" t="inlineStr">
        <is>
          <t>A university IT team plans to run a latency-sensitive AI workload, such as real-time fraud detection, across several cloud providers and is weighing Google TPUs or AWS Inferentia chips. What does research say about the performance and hardware issues it should expect?</t>
        </is>
      </c>
      <c r="G17" s="5" t="inlineStr">
        <is>
          <t>Latency-sensitive AI workloads like real-time fraud detection in banks degrade in performance when run across multiple clouds, due to network overhead and cross-cloud data transfer limits. Google Cloud TPUs are more efficient than GPUs for deep learning but not always cost-effective for light workloads. AWS Inferentia chips show potential for inference but are limited by compatibility problems with standard AI frameworks. No provider yet offers an ideal solution for all AI workloads, so a thorough comparison across platforms is needed.</t>
        </is>
      </c>
      <c r="H17" s="5" t="inlineStr">
        <is>
          <t>It has been shown that banks use latency-sensitive AI workloads such as real-time fraud detection to degrade performance when executed across multiple clouds due to network overhead and cross-cloud data transfer limits [7, 8]. … Research has established that TPUs on Google Cloud are more efficient than traditional GPUs for deep learning workloads, but are not always cost-effective for light workloads. Similarly, the Inferentia chips by AWS have shown potential for inference workloads but are yet to be embraced due to compatibility problems with standard AI frameworks. Such findings indicate that cloud AI infrastructure is advancing, but no provider yet offers an ideal solution for all AI workloads, necessitating a thorough comparison across platforms [9].</t>
        </is>
      </c>
      <c r="I17" s="5" t="inlineStr">
        <is>
          <t>AI and Digital Transformation: Opportunities, Challenges, and Emerging Threats in Technology, Business, and Security, p. 209</t>
        </is>
      </c>
      <c r="J17" s="5" t="b">
        <v>1</v>
      </c>
      <c r="K17" s="5" t="b">
        <v>0</v>
      </c>
      <c r="L17" s="5" t="inlineStr"/>
      <c r="M17" s="5" t="inlineStr">
        <is>
          <t>application</t>
        </is>
      </c>
      <c r="N17" s="5" t="inlineStr">
        <is>
          <t>hard</t>
        </is>
      </c>
      <c r="O17" s="5" t="inlineStr">
        <is>
          <t>procurement_technology</t>
        </is>
      </c>
      <c r="P17" s="5" t="n">
        <v>4</v>
      </c>
      <c r="Q17" s="5" t="n">
        <v>3</v>
      </c>
      <c r="R17" s="5" t="inlineStr">
        <is>
          <t>The answer closely restates the evidence. The only changes are minor rewording, such as 'limited by compatibility problems' for 'yet to be embraced due to compatibility problems'. | The question describes a concrete scenario and names TPUs and Inferentia explicitly, with no reference to an unseen source. | value: The content is useful knowledge about cloud AI infrastructure, but its link to higher education is tangential and the university framing feels forced.</t>
        </is>
      </c>
      <c r="S17" s="5" t="inlineStr">
        <is>
          <t>If a university spreads a real-time, latency-sensitive AI workload like fraud detection over multiple clouds and considers TPUs or Inferentia, what do research findings say it may face?</t>
        </is>
      </c>
      <c r="T17" s="5" t="inlineStr">
        <is>
          <t>A campus IT group wants to run real-time AI such as fraud detection across multiple clouds using TPUs or Inferentia chips; what performance and hardware issues does research point to?</t>
        </is>
      </c>
      <c r="U17" s="5" t="inlineStr">
        <is>
          <t>full_v1</t>
        </is>
      </c>
      <c r="V17" s="5" t="inlineStr">
        <is>
          <t>ai-and-digital-transformation:0125:q3</t>
        </is>
      </c>
    </row>
    <row r="18">
      <c r="A18" s="5" t="n">
        <v>17</v>
      </c>
      <c r="B18" s="5" t="b">
        <v>0</v>
      </c>
      <c r="C18" s="6" t="n"/>
      <c r="D18" s="6" t="n"/>
      <c r="E18" s="5" t="n"/>
      <c r="F18" s="5" t="inlineStr">
        <is>
          <t>Why are image recognition models more likely to misclassify images of people with darker skin tones?</t>
        </is>
      </c>
      <c r="G18" s="5" t="inlineStr">
        <is>
          <t>Image recognition models are more likely to misclassify images of people with darker skin tones due to a lack of diversity in their training datasets.</t>
        </is>
      </c>
      <c r="H18" s="5" t="inlineStr">
        <is>
          <t>Similarly, image recognition models are more likely to misclassify images of people with darker skin tones due to a lack of diversity in their training datasets.</t>
        </is>
      </c>
      <c r="I18" s="5" t="inlineStr">
        <is>
          <t>Responsible AI in the Enterprise, p. 277</t>
        </is>
      </c>
      <c r="J18" s="5" t="b">
        <v>1</v>
      </c>
      <c r="K18" s="5" t="b">
        <v>0</v>
      </c>
      <c r="L18" s="5" t="inlineStr"/>
      <c r="M18" s="5" t="inlineStr">
        <is>
          <t>explanation</t>
        </is>
      </c>
      <c r="N18" s="5" t="inlineStr">
        <is>
          <t>medium</t>
        </is>
      </c>
      <c r="O18" s="5" t="inlineStr">
        <is>
          <t>equity_accessibility</t>
        </is>
      </c>
      <c r="P18" s="5" t="n">
        <v>5</v>
      </c>
      <c r="Q18" s="5" t="n">
        <v>4</v>
      </c>
      <c r="R18" s="5" t="inlineStr">
        <is>
          <t>The answer restates the evidence almost verbatim. | The question is self-contained, with no references to the source or undefined terms. | value: Explains a key mechanism of algorithmic bias that is relevant to responsible AI.</t>
        </is>
      </c>
      <c r="S18" s="5" t="inlineStr">
        <is>
          <t>What causes image recognition models to misclassify people with darker skin tones more often?</t>
        </is>
      </c>
      <c r="T18" s="5" t="inlineStr">
        <is>
          <t>What explains the higher misclassification of darker-skinned people by image recognition models?</t>
        </is>
      </c>
      <c r="U18" s="5" t="inlineStr">
        <is>
          <t>full_v1</t>
        </is>
      </c>
      <c r="V18" s="5" t="inlineStr">
        <is>
          <t>responsible-ai-in-the-enterprise-practical-ai:0151:q4</t>
        </is>
      </c>
    </row>
    <row r="19">
      <c r="A19" s="5" t="n">
        <v>18</v>
      </c>
      <c r="B19" s="5" t="b">
        <v>0</v>
      </c>
      <c r="C19" s="6" t="n"/>
      <c r="D19" s="6" t="n"/>
      <c r="E19" s="5" t="n"/>
      <c r="F19" s="5" t="inlineStr">
        <is>
          <t>Why are black box models still considered for use in explainable AI work even though fully interpretable glass box models exist?</t>
        </is>
      </c>
      <c r="G19" s="5" t="inlineStr">
        <is>
          <t>Given recent advances, black box models can offer performance gains that are difficult to set aside. Glass box models are fully interpretable and ready for production deployment, but local surrogate models can be used to explain decisions if you have to use a black box model.</t>
        </is>
      </c>
      <c r="H19" s="5" t="inlineStr">
        <is>
          <t>However, given the recent advances, black box models can offer performance gains that are difficult to set aside. … The glass box models, as the name suggests, offer the other end of the spectrum as compared to the black box models. A model that is fully interpretable and ready for production deployment is a glass box model. … The approach usually attempts to explain the decisions by creating an interpretable model in the neighbourhood of the prediction. This is useful if you have to use a black box model or if you already have a model in production and need to explain the decisions.</t>
        </is>
      </c>
      <c r="I19" s="5" t="inlineStr">
        <is>
          <t>Responsible AI, pp. 58-59</t>
        </is>
      </c>
      <c r="J19" s="5" t="b">
        <v>1</v>
      </c>
      <c r="K19" s="5" t="b">
        <v>1</v>
      </c>
      <c r="L19" s="5" t="inlineStr"/>
      <c r="M19" s="5" t="inlineStr">
        <is>
          <t>explanation</t>
        </is>
      </c>
      <c r="N19" s="5" t="inlineStr">
        <is>
          <t>medium</t>
        </is>
      </c>
      <c r="O19" s="5" t="inlineStr">
        <is>
          <t>teaching_learning</t>
        </is>
      </c>
      <c r="P19" s="5" t="n">
        <v>4</v>
      </c>
      <c r="Q19" s="5" t="n">
        <v>4</v>
      </c>
      <c r="R19" s="5" t="inlineStr">
        <is>
          <t>All claims are supported by the evidence. Calling the neighbourhood-based explanation approach 'local surrogate models' is a mild relabeling not used verbatim in the evidence. | The question names its concepts (black box, glass box, explainable AI) clearly and does not depend on any unseen source. | value: It covers a useful explainability trade-off between performance and interpretability.</t>
        </is>
      </c>
      <c r="S19" s="5" t="inlineStr">
        <is>
          <t>What reason is there for considering black box models despite the existence of fully interpretable glass box models?</t>
        </is>
      </c>
      <c r="T19" s="5" t="inlineStr">
        <is>
          <t>Why might black box models still be used when glass box models that are fully interpretable are available?</t>
        </is>
      </c>
      <c r="U19" s="5" t="inlineStr">
        <is>
          <t>full_v1</t>
        </is>
      </c>
      <c r="V19" s="5" t="inlineStr">
        <is>
          <t>responsible-ai-16f1bf:0028:q3</t>
        </is>
      </c>
    </row>
    <row r="20">
      <c r="A20" s="5" t="n">
        <v>19</v>
      </c>
      <c r="B20" s="5" t="b">
        <v>0</v>
      </c>
      <c r="C20" s="6" t="n"/>
      <c r="D20" s="6" t="n"/>
      <c r="E20" s="5" t="n"/>
      <c r="F20" s="5" t="inlineStr">
        <is>
          <t>A university AI governance committee uses the Trustworthy AI Maturity Model (TAIMM) to assess a campus AI system and finds that some ethical principles score weakly at certain lifecycle stages. What can the principle-level mapping do for the committee, and which principles appeared underrepresented in TAIMM results?</t>
        </is>
      </c>
      <c r="G20" s="5" t="inlineStr">
        <is>
          <t>The TAIMM principle mapping acts as a diagnostic tool, revealing ethical imbalances and guiding improvements in AI governance. It functions both as a compliance aid and as a structured gap-analysis mechanism to strengthen ethical coverage across the lifecycle. In TAIMM results, Human Agency and Oversight and Societal and Environmental Well-being appeared underrepresented, particularly during the development phase.</t>
        </is>
      </c>
      <c r="H20" s="5" t="inlineStr">
        <is>
          <t>The mapping therefore acts as a diagnostic tool, revealing ethical imbalances and guiding improvements in AI governance. TAIMM functions both as a compliance aid and as a structured gap-analysis mechanism to strengthen ethical coverage across the lifecycle. … Human Agency and Oversight and Societal and Environmental Well-being appear to be underrepresented, in particular during the development phase, suggesting potential areas for further investigation.</t>
        </is>
      </c>
      <c r="I20" s="5" t="inlineStr">
        <is>
          <t>The Trustworthy AI Maturity Model (TAIMM): Integrating ethics and regulation across the AI lifecycle, p. 10</t>
        </is>
      </c>
      <c r="J20" s="5" t="b">
        <v>1</v>
      </c>
      <c r="K20" s="5" t="b">
        <v>0</v>
      </c>
      <c r="L20" s="5" t="inlineStr"/>
      <c r="M20" s="5" t="inlineStr">
        <is>
          <t>application</t>
        </is>
      </c>
      <c r="N20" s="5" t="inlineStr">
        <is>
          <t>hard</t>
        </is>
      </c>
      <c r="O20" s="5" t="inlineStr">
        <is>
          <t>governance</t>
        </is>
      </c>
      <c r="P20" s="5" t="n">
        <v>4</v>
      </c>
      <c r="Q20" s="5" t="n">
        <v>4</v>
      </c>
      <c r="R20" s="5" t="inlineStr">
        <is>
          <t>The answer closely restates the evidence. It slightly reattributes the 'compliance aid and gap-analysis' role from TAIMM to the mapping, which is a trivial shift. | The question spells out the Trustworthy AI Maturity Model before using the acronym and describes a self-contained scenario. | value: It gives useful, somewhat specific knowledge about using a trustworthy-AI maturity model for gap analysis in governance.</t>
        </is>
      </c>
      <c r="S20" s="5" t="inlineStr">
        <is>
          <t>When a campus AI governance group finds uneven principle scores using the Trustworthy AI Maturity Model, what role does the principle mapping play, and which principles were underrepresented in TAIMM results?</t>
        </is>
      </c>
      <c r="T20" s="5" t="inlineStr">
        <is>
          <t>When an institution's AI governance committee evaluates a campus AI system with the Trustworthy AI Maturity Model (TAIMM) and some ethical principles receive low scores at particular lifecycle stages, how can mapping results to individual principles help, and which principles turned out to be underrepresented in TAIMM results?</t>
        </is>
      </c>
      <c r="U20" s="5" t="inlineStr">
        <is>
          <t>full_v1</t>
        </is>
      </c>
      <c r="V20" s="5" t="inlineStr">
        <is>
          <t>the-trustworthy-ai-maturity-model-taimm:0020:q0</t>
        </is>
      </c>
    </row>
    <row r="21">
      <c r="A21" s="5" t="n">
        <v>20</v>
      </c>
      <c r="B21" s="5" t="b">
        <v>0</v>
      </c>
      <c r="C21" s="6" t="n"/>
      <c r="D21" s="6" t="n"/>
      <c r="E21" s="5" t="n"/>
      <c r="F21" s="5" t="inlineStr">
        <is>
          <t>What did a face validity pilot with 30 preservice English teachers in Indonesia show about an AI literacy instrument, and what was done with the feedback?</t>
        </is>
      </c>
      <c r="G21" s="5" t="inlineStr">
        <is>
          <t>No substantively new concerns emerged after successive rounds of feedback, indicating that saturation had been reached. Participants reported no major difficulties understanding or responding to the items. They gave minor suggestions on wording precision and stylistic consistency, which were incorporated into the revised instrument.</t>
        </is>
      </c>
      <c r="H21" s="5" t="inlineStr">
        <is>
          <t>During the pilot phase, no substantively new concerns emerged after successive rounds of participant feedback, indicating that saturation had been reached. In addition, response time and ease of completion were assessed to ensure operational feasibility. Although participants reported no major difficulties in understanding or responding to the items, they provided minor suggestions aimed at improving wording precision and stylistic consistency, which were incorporated into the revised instrument.</t>
        </is>
      </c>
      <c r="I21" s="5" t="inlineStr">
        <is>
          <t>Language teachers’ AI literacy: A psychometric study based on the ED-AI framework, p. 5</t>
        </is>
      </c>
      <c r="J21" s="5" t="b">
        <v>0</v>
      </c>
      <c r="K21" s="5" t="b">
        <v>0</v>
      </c>
      <c r="L21" s="5" t="inlineStr">
        <is>
          <t>low_value(2)</t>
        </is>
      </c>
      <c r="M21" s="5" t="inlineStr">
        <is>
          <t>explanation</t>
        </is>
      </c>
      <c r="N21" s="5" t="inlineStr">
        <is>
          <t>medium</t>
        </is>
      </c>
      <c r="O21" s="5" t="inlineStr">
        <is>
          <t>monitoring_improvement</t>
        </is>
      </c>
      <c r="P21" s="5" t="n">
        <v>5</v>
      </c>
      <c r="Q21" s="5" t="n">
        <v>2</v>
      </c>
      <c r="R21" s="5" t="inlineStr">
        <is>
          <t>Every statement in the answer (saturation reached, no major difficulties, and minor wording and stylistic suggestions incorporated) is directly stated in the evidence. | The question specifies the pilot, the participants and the AI literacy instrument without referring to unseen context. | value: This is research-methodology detail about instrument piloting rather than core responsible-AI knowledge.</t>
        </is>
      </c>
      <c r="S21" s="5" t="inlineStr">
        <is>
          <t>What were the results of the face validity pilot of an AI literacy instrument with 30 Indonesian preservice English teachers, and how was feedback handled?</t>
        </is>
      </c>
      <c r="T21" s="5" t="inlineStr">
        <is>
          <t>How did 30 preservice English teachers in Indonesia respond in a face validity pilot, and what happened to their suggestions?</t>
        </is>
      </c>
      <c r="U21" s="5" t="inlineStr">
        <is>
          <t>full_v1</t>
        </is>
      </c>
      <c r="V21" s="5" t="inlineStr">
        <is>
          <t>language-teachers-ai-literacy-a-psychometric:0008:q4</t>
        </is>
      </c>
    </row>
    <row r="22">
      <c r="A22" s="5" t="n">
        <v>21</v>
      </c>
      <c r="B22" s="5" t="b">
        <v>1</v>
      </c>
      <c r="C22" s="6" t="n"/>
      <c r="D22" s="6" t="n"/>
      <c r="E22" s="5" t="n"/>
      <c r="F22" s="5" t="inlineStr">
        <is>
          <t>A university deploys an AI system that supports instructors' decisions about learners. What should instructors and the institution recognize and do to collaborate effectively with the system, given that such systems can err?</t>
        </is>
      </c>
      <c r="G22" s="5" t="inlineStr">
        <is>
          <t>AI-based systems are not flawless and can make errors leading to incorrect decisions, potentially with serious consequences for learners. Educators should recognize that AI-based decisions carry inherent uncertainties, analogous to those in human decision-making. Educators must remain the primary decision-makers and be accountable for how AI insights are used. Effective collaboration requires continuous awareness of the strengths and limitations of both AI and human contributions, along with ongoing monitoring and adaptation of their collaborative efforts.</t>
        </is>
      </c>
      <c r="H22" s="5" t="inlineStr">
        <is>
          <t>However, it is important to recognize that AI-based systems, despite their sophisticated capabilities, are not flawless and can make errors that lead to incorrect decisions in educational settings, potentially having serious consequences for learners. … Recognizing the inherent uncertainties in AI-based decisions, analogous to those in human decision-making processes, is of paramount importance. … Furthermore, human responsibility is paramount; educators must remain the primary decision-makers and be accountable for how AI insights are used to influence educational outcomes. … Achieving this requires continuous awareness of the strengths and limitations of both AI and human contributions, along with the ongoing monitoring and adaptation of their collaborative efforts.</t>
        </is>
      </c>
      <c r="I22" s="5" t="inlineStr">
        <is>
          <t>AI Roles and Responsibilities in Education, p. 49</t>
        </is>
      </c>
      <c r="J22" s="5" t="b">
        <v>1</v>
      </c>
      <c r="K22" s="5" t="b">
        <v>0</v>
      </c>
      <c r="L22" s="5" t="inlineStr"/>
      <c r="M22" s="5" t="inlineStr">
        <is>
          <t>application</t>
        </is>
      </c>
      <c r="N22" s="5" t="inlineStr">
        <is>
          <t>hard</t>
        </is>
      </c>
      <c r="O22" s="5" t="inlineStr">
        <is>
          <t>governance</t>
        </is>
      </c>
      <c r="P22" s="5" t="n">
        <v>4</v>
      </c>
      <c r="Q22" s="5" t="n">
        <v>5</v>
      </c>
      <c r="R22" s="5" t="inlineStr">
        <is>
          <t>Each statement in the answer closely restates the evidence. The only additions are minor attributions, such as saying educators should recognize the uncertainties when the evidence states this generally. | The question describes a concrete scenario and does not refer back to any source. | value: It covers core responsible-AI ideas: human accountability, the fallibility of AI, and human-AI collaboration in education.</t>
        </is>
      </c>
      <c r="S22" s="5" t="inlineStr">
        <is>
          <t>Our university uses an AI tool to inform decisions about students. Given that AI can make mistakes, what should educators and the institution recognize and do to make the collaboration work?</t>
        </is>
      </c>
      <c r="T22" s="5" t="inlineStr">
        <is>
          <t>If an institution adopts AI to aid educational decisions about learners, what should it keep in mind about AI errors and how should educators and AI work together?</t>
        </is>
      </c>
      <c r="U22" s="5" t="inlineStr">
        <is>
          <t>full_v1</t>
        </is>
      </c>
      <c r="V22" s="5" t="inlineStr">
        <is>
          <t>ai-roles:0026:q4</t>
        </is>
      </c>
    </row>
    <row r="23">
      <c r="A23" s="5" t="n">
        <v>22</v>
      </c>
      <c r="B23" s="5" t="b">
        <v>1</v>
      </c>
      <c r="C23" s="6" t="n"/>
      <c r="D23" s="6" t="n"/>
      <c r="E23" s="5" t="n"/>
      <c r="F23" s="5" t="inlineStr">
        <is>
          <t>In healthcare AI case studies on Electronic Health Records, what role do granular access controls and audit trails play?</t>
        </is>
      </c>
      <c r="G23" s="5" t="inlineStr">
        <is>
          <t>Implementing granular access controls and audit trails has proven crucial, ensuring that only authorized personnel can access sensitive medical information.</t>
        </is>
      </c>
      <c r="H23" s="5" t="inlineStr">
        <is>
          <t>Case studies emphasize the critical need for robust encryption methods to safeguard patient data. Moreover, implementing granular access controls and audit trails has proven crucial, ensuring that only authorized personnel can access sensitive medical information.</t>
        </is>
      </c>
      <c r="I23" s="5" t="inlineStr">
        <is>
          <t>Towards Ethical and Socially Responsible Explainable AI, p. 236</t>
        </is>
      </c>
      <c r="J23" s="5" t="b">
        <v>1</v>
      </c>
      <c r="K23" s="5" t="b">
        <v>0</v>
      </c>
      <c r="L23" s="5" t="inlineStr"/>
      <c r="M23" s="5" t="inlineStr">
        <is>
          <t>definition</t>
        </is>
      </c>
      <c r="N23" s="5" t="inlineStr">
        <is>
          <t>easy</t>
        </is>
      </c>
      <c r="O23" s="5" t="inlineStr">
        <is>
          <t>privacy_security</t>
        </is>
      </c>
      <c r="P23" s="5" t="n">
        <v>4</v>
      </c>
      <c r="Q23" s="5" t="n">
        <v>3</v>
      </c>
      <c r="R23" s="5" t="inlineStr">
        <is>
          <t>The answer closely restates the evidence. The only gap is that the evidence's context does not explicitly say 'Electronic Health Records', though healthcare patient data is implied. | The question names its topic (healthcare AI case studies on EHRs) and does not refer to an unseen source. | value: This is acceptable privacy and security knowledge, but it is narrow and only tangentially about higher education.</t>
        </is>
      </c>
      <c r="S23" s="5" t="inlineStr">
        <is>
          <t>What purpose do granular access controls and audit trails serve in healthcare AI systems handling Electronic Health Records?</t>
        </is>
      </c>
      <c r="T23" s="5" t="inlineStr">
        <is>
          <t>Why are granular access controls and audit trails emphasized in Electronic Health Records AI case studies?</t>
        </is>
      </c>
      <c r="U23" s="5" t="inlineStr">
        <is>
          <t>full_v1</t>
        </is>
      </c>
      <c r="V23" s="5" t="inlineStr">
        <is>
          <t>towards-ethical:0126:q1</t>
        </is>
      </c>
    </row>
    <row r="24">
      <c r="A24" s="5" t="n">
        <v>23</v>
      </c>
      <c r="B24" s="5" t="b">
        <v>0</v>
      </c>
      <c r="C24" s="6" t="n"/>
      <c r="D24" s="6" t="n"/>
      <c r="E24" s="5" t="n"/>
      <c r="F24" s="5" t="inlineStr">
        <is>
          <t>A university is deploying a machine learning model through an API and wants to reduce the chance that attackers extract data from it or plant hidden backdoors. What security measures can it use to protect against data extraction and to identify backdoors?</t>
        </is>
      </c>
      <c r="G24" s="5" t="inlineStr">
        <is>
          <t>Techniques such as throttling and watermarking protect against data extraction attacks. Effective communication and thorough API documentation deter attackers, while rigorous code review processes identify potential backdoors. Prioritizing API endpoint security is also crucial.</t>
        </is>
      </c>
      <c r="H24" s="5" t="inlineStr">
        <is>
          <t>Implementing strong authentication methods ensures only authorized users access ML systems, while using interpretable, fair, or private models bolsters transparency and fairness. Thorough model documentation preserves knowledge and enables seamless transfer, whereas model management combines process and technology controls to oversee deployed systems. Techniques such as throttling and watermarking protect against data extraction attacks. … It is crucial to be cautious of potential issues in pre-trained/third-party models and to prioritize API endpoint security. Data versioning safeguards data, while regularized and constrained models and L2 regularization and constraints act as countermeasures against attacks. … Effective communication and thorough API documentation deter attackers, while rigorous code review processes identify potential backdoors.</t>
        </is>
      </c>
      <c r="I24" s="5" t="inlineStr">
        <is>
          <t>Responsible AI in the Enterprise, pp. 96-97</t>
        </is>
      </c>
      <c r="J24" s="5" t="b">
        <v>1</v>
      </c>
      <c r="K24" s="5" t="b">
        <v>1</v>
      </c>
      <c r="L24" s="5" t="inlineStr"/>
      <c r="M24" s="5" t="inlineStr">
        <is>
          <t>application</t>
        </is>
      </c>
      <c r="N24" s="5" t="inlineStr">
        <is>
          <t>hard</t>
        </is>
      </c>
      <c r="O24" s="5" t="inlineStr">
        <is>
          <t>privacy_security</t>
        </is>
      </c>
      <c r="P24" s="5" t="n">
        <v>4</v>
      </c>
      <c r="Q24" s="5" t="n">
        <v>4</v>
      </c>
      <c r="R24" s="5" t="inlineStr">
        <is>
          <t>All statements appear in the evidence nearly verbatim; the university framing is only in the question. | The question describes a concrete scenario without referring to any unseen source. | value: Practical ML security measures relevant to institutional AI deployment.</t>
        </is>
      </c>
      <c r="S24" s="5" t="inlineStr">
        <is>
          <t>What protections against data extraction attacks and against hidden backdoors apply to a university that exposes a machine learning model through an API?</t>
        </is>
      </c>
      <c r="T24" s="5" t="inlineStr">
        <is>
          <t>If a university serves a machine learning model through an API, which techniques guard against data extraction and help find potential backdoors?</t>
        </is>
      </c>
      <c r="U24" s="5" t="inlineStr">
        <is>
          <t>full_v1</t>
        </is>
      </c>
      <c r="V24" s="5" t="inlineStr">
        <is>
          <t>responsible-ai-in-the-enterprise-practical-ai:0059:q1</t>
        </is>
      </c>
    </row>
    <row r="25">
      <c r="A25" s="5" t="n">
        <v>24</v>
      </c>
      <c r="B25" s="5" t="b">
        <v>0</v>
      </c>
      <c r="C25" s="6" t="n"/>
      <c r="D25" s="6" t="n"/>
      <c r="E25" s="5" t="n"/>
      <c r="F25" s="5" t="inlineStr">
        <is>
          <t>Why can automating repetitive tasks such as search, transcription, and unit normalization help students doing thesis research, according to cognitive load theory?</t>
        </is>
      </c>
      <c r="G25" s="5" t="inlineStr">
        <is>
          <t>Cognitive load theory helps to explain that automating repetitive search, transcription, and unit normalization can reduce extraneous information processing. This frees cognitive resources for analysis and justification. AI-powered systems can likewise reduce extraneous cognitive load by transforming unstructured text into structured datasets, freeing resources for deeper learning and analytical tasks.</t>
        </is>
      </c>
      <c r="H25" s="5" t="inlineStr">
        <is>
          <t>(2) Cognitive load theory helps to explain why automating repetitive search, transcription, and unit normalization can reduce extraneous information processing and free cognitive resources for analysis and justification. … AI-powered systems can reduce this extraneous cognitive load by transforming unstructured text into structured datasets, freeing their cognitive resources for deeper learning and analytical tasks.</t>
        </is>
      </c>
      <c r="I25" s="5" t="inlineStr">
        <is>
          <t>From literature to research-based learning: An AI-powered information extraction system to enhance undergraduate thesis completion, pp. 2-3</t>
        </is>
      </c>
      <c r="J25" s="5" t="b">
        <v>1</v>
      </c>
      <c r="K25" s="5" t="b">
        <v>0</v>
      </c>
      <c r="L25" s="5" t="inlineStr"/>
      <c r="M25" s="5" t="inlineStr">
        <is>
          <t>explanation</t>
        </is>
      </c>
      <c r="N25" s="5" t="inlineStr">
        <is>
          <t>medium</t>
        </is>
      </c>
      <c r="O25" s="5" t="inlineStr">
        <is>
          <t>teaching_learning</t>
        </is>
      </c>
      <c r="P25" s="5" t="n">
        <v>5</v>
      </c>
      <c r="Q25" s="5" t="n">
        <v>4</v>
      </c>
      <c r="R25" s="5" t="inlineStr">
        <is>
          <t>Every statement in the answer is taken directly from the evidence: reducing extraneous processing, freeing resources for analysis and justification, and AI turning unstructured text into structured datasets. | The question names cognitive load theory and the specific tasks. The phrase "according to cognitive load theory" refers to a theory, not to an unseen source. | value: This is useful, somewhat specific knowledge about how AI supports learning in thesis research.</t>
        </is>
      </c>
      <c r="S25" s="5" t="inlineStr">
        <is>
          <t>How does cognitive load theory explain the benefit of automating search, transcription, and unit normalization for thesis students?</t>
        </is>
      </c>
      <c r="T25" s="5" t="inlineStr">
        <is>
          <t>What does cognitive load theory say about why automating repetitive search, transcription, and unit normalization is useful in thesis work?</t>
        </is>
      </c>
      <c r="U25" s="5" t="inlineStr">
        <is>
          <t>full_v1</t>
        </is>
      </c>
      <c r="V25" s="5" t="inlineStr">
        <is>
          <t>from-literature-to-research-based-learning:0003:q0</t>
        </is>
      </c>
    </row>
    <row r="26">
      <c r="A26" s="5" t="n">
        <v>25</v>
      </c>
      <c r="B26" s="5" t="b">
        <v>0</v>
      </c>
      <c r="C26" s="6" t="n"/>
      <c r="D26" s="6" t="n"/>
      <c r="E26" s="5" t="n"/>
      <c r="F26" s="5" t="inlineStr">
        <is>
          <t>In validating a measurement instrument such as an AI literacy test, what does reliability mean and what value is generally considered satisfactory?</t>
        </is>
      </c>
      <c r="G26" s="5" t="inlineStr">
        <is>
          <t>Reliability ensures that the instrument consistently measures the intended construct across respondents and conditions. Values above 0.70 are generally considered satisfactory and indicate that the items coherently capture the same underlying construct.</t>
        </is>
      </c>
      <c r="H26" s="5" t="inlineStr">
        <is>
          <t>Reliability ensures that the instrument consistently measures the intended construct across respondents and conditions (Nunnally &amp; Bernstein, 1994). To assess the reliability of the AICOS-S, several analyses were conducted. Internal consistency was evaluated using Cronbach's Alpha and Composite reliability. Values above 0.70 are generally considered satisfactory and indicate that the items coherently capture the same underlying construct (Hair et al., 2010).</t>
        </is>
      </c>
      <c r="I26" s="5" t="inlineStr">
        <is>
          <t>How to measure AI literacy (Fast): Development and norming of the AI competence objective scale short version (AICOS-S), p. 4</t>
        </is>
      </c>
      <c r="J26" s="5" t="b">
        <v>1</v>
      </c>
      <c r="K26" s="5" t="b">
        <v>0</v>
      </c>
      <c r="L26" s="5" t="inlineStr"/>
      <c r="M26" s="5" t="inlineStr">
        <is>
          <t>definition</t>
        </is>
      </c>
      <c r="N26" s="5" t="inlineStr">
        <is>
          <t>medium</t>
        </is>
      </c>
      <c r="O26" s="5" t="inlineStr">
        <is>
          <t>monitoring_improvement</t>
        </is>
      </c>
      <c r="P26" s="5" t="n">
        <v>5</v>
      </c>
      <c r="Q26" s="5" t="n">
        <v>3</v>
      </c>
      <c r="R26" s="5" t="inlineStr">
        <is>
          <t>Both statements are taken directly from the evidence. The 0.70 threshold is tied to internal consistency (Cronbach's alpha and composite reliability), but the answer stays close to the source's wording. | The question is self-contained and needs no reference to an unseen source. | value: This is a measurement-methodology concept rather than core responsible-AI knowledge, so it is useful but narrow.</t>
        </is>
      </c>
      <c r="S26" s="5" t="inlineStr">
        <is>
          <t>What is meant by reliability of an instrument like an AI literacy test, and what values are generally viewed as satisfactory?</t>
        </is>
      </c>
      <c r="T26" s="5" t="inlineStr">
        <is>
          <t>When an AI literacy test or similar measurement instrument is being validated, what is meant by reliability, and what level is typically regarded as acceptable?</t>
        </is>
      </c>
      <c r="U26" s="5" t="inlineStr">
        <is>
          <t>full_v1</t>
        </is>
      </c>
      <c r="V26" s="5" t="inlineStr">
        <is>
          <t>how-to-measure-ai-literacy-fast:0007:q2</t>
        </is>
      </c>
    </row>
    <row r="27">
      <c r="A27" s="5" t="n">
        <v>26</v>
      </c>
      <c r="B27" s="5" t="b">
        <v>1</v>
      </c>
      <c r="C27" s="6" t="n"/>
      <c r="D27" s="6" t="n"/>
      <c r="E27" s="5" t="n"/>
      <c r="F27" s="5" t="inlineStr">
        <is>
          <t>Why did a case study of student motivations for AI use in a Turkish university combine deductive motivational theories with inductive interview patterns instead of using a purely deductive or inductive approach?</t>
        </is>
      </c>
      <c r="G27" s="5" t="inlineStr">
        <is>
          <t>The study combined the two logics so that established theories provided an initial conceptual orientation, while empirical evidence from student and expert interviews refined, contextualized and qualified the theoretical assumptions.</t>
        </is>
      </c>
      <c r="H27" s="5" t="inlineStr">
        <is>
          <t>Instead of taking a purely deductive or inductive approach, the study combined these two logics such that established theories provided an initial conceptual orientation, whereas empirical evidence derived from student and expert interviews led to refining, contextualizing and qualifying theoretical assumptions.</t>
        </is>
      </c>
      <c r="I27" s="5" t="inlineStr">
        <is>
          <t>Exploring student motivations for AI usage in education: Nisantasi in Turkey, a case study, p. 4</t>
        </is>
      </c>
      <c r="J27" s="5" t="b">
        <v>0</v>
      </c>
      <c r="K27" s="5" t="b">
        <v>0</v>
      </c>
      <c r="L27" s="5" t="inlineStr">
        <is>
          <t>low_value(2)</t>
        </is>
      </c>
      <c r="M27" s="5" t="inlineStr">
        <is>
          <t>explanation</t>
        </is>
      </c>
      <c r="N27" s="5" t="inlineStr">
        <is>
          <t>medium</t>
        </is>
      </c>
      <c r="O27" s="5" t="inlineStr">
        <is>
          <t>general</t>
        </is>
      </c>
      <c r="P27" s="5" t="n">
        <v>5</v>
      </c>
      <c r="Q27" s="5" t="n">
        <v>2</v>
      </c>
      <c r="R27" s="5" t="inlineStr">
        <is>
          <t>The answer restates the evidence almost verbatim. It says theories gave initial orientation and interview evidence refined, contextualized and qualified the assumptions. | The question identifies the study by its content (a case study of student AI-use motivations at a Turkish university) and does not refer to any unseen text. | value: It concerns research methodology (a deductive/inductive design choice) rather than substantive responsible-AI knowledge.</t>
        </is>
      </c>
      <c r="S27" s="5" t="inlineStr">
        <is>
          <t>How did combining deductive theory with inductive interview findings shape the research model in a study of student motivations for AI use at a Turkish university?</t>
        </is>
      </c>
      <c r="T27" s="5" t="inlineStr">
        <is>
          <t>In a Turkish university case study on student motivations for AI use, what was the point of blending deductive and inductive logics rather than choosing one?</t>
        </is>
      </c>
      <c r="U27" s="5" t="inlineStr">
        <is>
          <t>full_v1</t>
        </is>
      </c>
      <c r="V27" s="5" t="inlineStr">
        <is>
          <t>exploring-student-motivations-for-ai-usage-in:0007:q0</t>
        </is>
      </c>
    </row>
    <row r="28">
      <c r="A28" s="5" t="n">
        <v>27</v>
      </c>
      <c r="B28" s="5" t="b">
        <v>0</v>
      </c>
      <c r="C28" s="6" t="n"/>
      <c r="D28" s="6" t="n"/>
      <c r="E28" s="5" t="n"/>
      <c r="F28" s="5" t="inlineStr">
        <is>
          <t>Why does faculty professional development now center on "prompt design as reflective practice"?</t>
        </is>
      </c>
      <c r="G28" s="5" t="inlineStr">
        <is>
          <t>Seasoned educators stress that AI should augment, not replace, the "aha" moments sparked by in-person questioning and mentorship. Accordingly, training teaches faculty to weave algorithmic suggestions into disciplinary expertise, so AI functions as an amplifier of scholarly insight rather than a surrogate for mentors, facilitators, or co-learners.</t>
        </is>
      </c>
      <c r="H28" s="5" t="inlineStr">
        <is>
          <t>Seasoned educators, however, stress that AI should augment-not replace-the "aha" moments sparked by in-person questioning and mentorship. Accordingly, professional development now centers on "prompt design as reflective practice," training faculty to weave algorithmic suggestions into disciplinary expertise so AI functions as an amplifier of scholarly insight, not a surrogate for mentors, facilitators, or co-learners.</t>
        </is>
      </c>
      <c r="I28" s="5" t="inlineStr">
        <is>
          <t>AI and Security in China’s Higher Education, p. 234</t>
        </is>
      </c>
      <c r="J28" s="5" t="b">
        <v>1</v>
      </c>
      <c r="K28" s="5" t="b">
        <v>0</v>
      </c>
      <c r="L28" s="5" t="inlineStr"/>
      <c r="M28" s="5" t="inlineStr">
        <is>
          <t>explanation</t>
        </is>
      </c>
      <c r="N28" s="5" t="inlineStr">
        <is>
          <t>medium</t>
        </is>
      </c>
      <c r="O28" s="5" t="inlineStr">
        <is>
          <t>faculty_readiness</t>
        </is>
      </c>
      <c r="P28" s="5" t="n">
        <v>5</v>
      </c>
      <c r="Q28" s="5" t="n">
        <v>4</v>
      </c>
      <c r="R28" s="5" t="inlineStr">
        <is>
          <t>The answer closely restates the evidence. It gives the reason (augment, not replace, the 'aha' moments) and the training goal, and adds nothing unsupported. | The question names its topic directly and needs no unseen context, although 'now' implies a general trend. | value: It covers a useful point about faculty development for integrating AI without displacing mentorship.</t>
        </is>
      </c>
      <c r="S28" s="5" t="inlineStr">
        <is>
          <t>What is the reason professional development for faculty focuses on "prompt design as reflective practice"?</t>
        </is>
      </c>
      <c r="T28" s="5" t="inlineStr">
        <is>
          <t>Why has faculty training shifted toward treating prompt design as reflective practice?</t>
        </is>
      </c>
      <c r="U28" s="5" t="inlineStr">
        <is>
          <t>full_v1</t>
        </is>
      </c>
      <c r="V28" s="5" t="inlineStr">
        <is>
          <t>ai-and-security-in-china-s-higher-education:0144:q3</t>
        </is>
      </c>
    </row>
    <row r="29">
      <c r="A29" s="5" t="n">
        <v>28</v>
      </c>
      <c r="B29" s="5" t="b">
        <v>1</v>
      </c>
      <c r="C29" s="6" t="n"/>
      <c r="D29" s="6" t="n"/>
      <c r="E29" s="5" t="n"/>
      <c r="F29" s="5" t="inlineStr">
        <is>
          <t>What do regulations and policies mean in ML privacy compliance, and why is adhering to them crucial?</t>
        </is>
      </c>
      <c r="G29" s="5" t="inlineStr">
        <is>
          <t>Regulations and policies refer to data privacy laws and organizational guidelines that dictate how personal data should be handled. Ensuring adherence to them is crucial to maintain trust and avoid legal repercussions.</t>
        </is>
      </c>
      <c r="H29" s="5" t="inlineStr">
        <is>
          <t>Regulations and policies: Regulations and policies refer to data privacy laws and organizational guidelines that dictate how personal data should be handled. Ensuring adherence to these regulations and policies is crucial to maintain trust and avoid legal repercussions.</t>
        </is>
      </c>
      <c r="I29" s="5" t="inlineStr">
        <is>
          <t>Responsible AI in the Enterprise, p. 99</t>
        </is>
      </c>
      <c r="J29" s="5" t="b">
        <v>1</v>
      </c>
      <c r="K29" s="5" t="b">
        <v>0</v>
      </c>
      <c r="L29" s="5" t="inlineStr"/>
      <c r="M29" s="5" t="inlineStr">
        <is>
          <t>definition</t>
        </is>
      </c>
      <c r="N29" s="5" t="inlineStr">
        <is>
          <t>medium</t>
        </is>
      </c>
      <c r="O29" s="5" t="inlineStr">
        <is>
          <t>governance</t>
        </is>
      </c>
      <c r="P29" s="5" t="n">
        <v>5</v>
      </c>
      <c r="Q29" s="5" t="n">
        <v>3</v>
      </c>
      <c r="R29" s="5" t="inlineStr">
        <is>
          <t>The answer restates the evidence nearly verbatim, and every statement is directly supported. | ML (machine learning) is a widely understood abbreviation, and the question does not reference an unseen source. | value: It is relevant to responsible AI but fairly generic and definitional.</t>
        </is>
      </c>
      <c r="S29" s="5" t="inlineStr">
        <is>
          <t>How are regulations and policies defined in privacy compliance for ML, and why does adherence matter?</t>
        </is>
      </c>
      <c r="T29" s="5" t="inlineStr">
        <is>
          <t>In ML privacy compliance, what are regulations and policies, and why must organizations follow them?</t>
        </is>
      </c>
      <c r="U29" s="5" t="inlineStr">
        <is>
          <t>full_v1</t>
        </is>
      </c>
      <c r="V29" s="5" t="inlineStr">
        <is>
          <t>responsible-ai-in-the-enterprise-practical-ai:0061:q4</t>
        </is>
      </c>
    </row>
    <row r="30">
      <c r="A30" s="5" t="n">
        <v>29</v>
      </c>
      <c r="B30" s="5" t="b">
        <v>0</v>
      </c>
      <c r="C30" s="6" t="n"/>
      <c r="D30" s="6" t="n"/>
      <c r="E30" s="5" t="n"/>
      <c r="F30" s="5" t="inlineStr">
        <is>
          <t>What is the name of the technique that Support Vector Machine uses for regression tasks to forecast values?</t>
        </is>
      </c>
      <c r="G30" s="5" t="inlineStr">
        <is>
          <t>In regression tasks, SVM employs Support Vector Regression (SVR) to forecast values while minimizing the error margin and preserving the model's generalization.</t>
        </is>
      </c>
      <c r="H30" s="5" t="inlineStr">
        <is>
          <t>Support Vector Machine (SVM) is a supervised learning technique designed to identify the best hyperplane that distinguishes data points of various classes within a highdimensional space. In regression tasks, SVM employs a method known as Support Vector Regression (SVR) to forecast values while minimizing the error margin and preserving the model's generalization [6].</t>
        </is>
      </c>
      <c r="I30" s="5" t="inlineStr">
        <is>
          <t>AI and Digital Transformation: Opportunities, Challenges, and Emerging Threats in Technology, Business, and Security, p. 399</t>
        </is>
      </c>
      <c r="J30" s="5" t="b">
        <v>0</v>
      </c>
      <c r="K30" s="5" t="b">
        <v>0</v>
      </c>
      <c r="L30" s="5" t="inlineStr">
        <is>
          <t>low_value(2)</t>
        </is>
      </c>
      <c r="M30" s="5" t="inlineStr">
        <is>
          <t>factual</t>
        </is>
      </c>
      <c r="N30" s="5" t="inlineStr">
        <is>
          <t>easy</t>
        </is>
      </c>
      <c r="O30" s="5" t="inlineStr">
        <is>
          <t>general</t>
        </is>
      </c>
      <c r="P30" s="5" t="n">
        <v>5</v>
      </c>
      <c r="Q30" s="5" t="n">
        <v>2</v>
      </c>
      <c r="R30" s="5" t="inlineStr">
        <is>
          <t>The answer restates the evidence almost verbatim: SVM uses Support Vector Regression (SVR) for regression, minimizing the error margin while preserving generalization. | The question names Support Vector Machine in full and does not refer to any unseen source. | value: This is generic machine-learning terminology, not tied to responsible AI or higher education.</t>
        </is>
      </c>
      <c r="S30" s="5" t="inlineStr">
        <is>
          <t>Which method does SVM employ when applied to regression tasks to forecast values?</t>
        </is>
      </c>
      <c r="T30" s="5" t="inlineStr">
        <is>
          <t>What is the regression variant of Support Vector Machine called?</t>
        </is>
      </c>
      <c r="U30" s="5" t="inlineStr">
        <is>
          <t>full_v1</t>
        </is>
      </c>
      <c r="V30" s="5" t="inlineStr">
        <is>
          <t>ai-and-digital-transformation:0234:q4</t>
        </is>
      </c>
    </row>
    <row r="31">
      <c r="A31" s="5" t="n">
        <v>30</v>
      </c>
      <c r="B31" s="5" t="b">
        <v>1</v>
      </c>
      <c r="C31" s="6" t="n"/>
      <c r="D31" s="6" t="n"/>
      <c r="E31" s="5" t="n"/>
      <c r="F31" s="5" t="inlineStr">
        <is>
          <t>Why can frequent help-seeking undermine the value of scaffolding in the ASSISTments tutoring system?</t>
        </is>
      </c>
      <c r="G31" s="5" t="inlineStr">
        <is>
          <t>Frequent help-seeking behaviors can weaken or even nullify the benefits of scaffolding support. Students gain knowledge when they actively learn from scaffolds, but when they overly rely on the intelligent system, they lose the opportunity to learn.</t>
        </is>
      </c>
      <c r="H31" s="5" t="inlineStr">
        <is>
          <t>Second, we find that frequent helpseeking behaviors can weaken or even nullify the benefits of scaffolding support. … In other words, when students actively learn from scaffolds they gain knowledge, whereas when they overly rely on the intelligent system, they lose the opportunity.</t>
        </is>
      </c>
      <c r="I31" s="5" t="inlineStr">
        <is>
          <t>Artificial Intelligence in Education. Posters and Late Breaking Results, Workshops and Tutorials, Industry and Innovation Tracks, Practitioners, Doctoral Consortium and Blue Sky, p. 89</t>
        </is>
      </c>
      <c r="J31" s="5" t="b">
        <v>0</v>
      </c>
      <c r="K31" s="5" t="b">
        <v>0</v>
      </c>
      <c r="L31" s="5" t="inlineStr">
        <is>
          <t>duplicate(answer cos=0.966 of artificial-intelligence-bceaf5:0072:q0)</t>
        </is>
      </c>
      <c r="M31" s="5" t="inlineStr">
        <is>
          <t>explanation</t>
        </is>
      </c>
      <c r="N31" s="5" t="inlineStr">
        <is>
          <t>medium</t>
        </is>
      </c>
      <c r="O31" s="5" t="inlineStr">
        <is>
          <t>student_ai_literacy</t>
        </is>
      </c>
      <c r="P31" s="5" t="n">
        <v>5</v>
      </c>
      <c r="Q31" s="5" t="n">
        <v>4</v>
      </c>
      <c r="R31" s="5" t="inlineStr">
        <is>
          <t>Both statements in the answer are directly stated in the evidence with only minor rewording. | The question names the ASSISTments system by content and is clear without seeing the source. | value: It gives a useful finding on how over-reliance on intelligent tutoring help undermines learning.</t>
        </is>
      </c>
      <c r="S31" s="5" t="inlineStr">
        <is>
          <t>How does frequent help-seeking reduce the benefit of scaffolding support in ASSISTments?</t>
        </is>
      </c>
      <c r="T31" s="5" t="inlineStr">
        <is>
          <t>What explains why students who often seek help may not benefit from ASSISTments scaffolds?</t>
        </is>
      </c>
      <c r="U31" s="5" t="inlineStr">
        <is>
          <t>full_v1</t>
        </is>
      </c>
      <c r="V31" s="5" t="inlineStr">
        <is>
          <t>artificial-intelligence-bceaf5:0072:q2</t>
        </is>
      </c>
    </row>
    <row r="32">
      <c r="A32" s="5" t="n">
        <v>31</v>
      </c>
      <c r="B32" s="5" t="b">
        <v>0</v>
      </c>
      <c r="C32" s="6" t="n"/>
      <c r="D32" s="6" t="n"/>
      <c r="E32" s="5" t="n"/>
      <c r="F32" s="5" t="inlineStr">
        <is>
          <t>A university plans to deploy an interpretable model that uses student records to flag at-risk students. Which privacy safeguards does the XAI conceptual framework's privacy metrics call for so that the model's transparency does not compromise sensitive data?</t>
        </is>
      </c>
      <c r="G32" s="5" t="inlineStr">
        <is>
          <t>Privacy metrics ensure that transparency does not compromise sensitive data. They do so by measuring the risk of exposing sensitive personal information and enforcing data minimization so the model uses only indispensable data. They also balance interpretability and data protection, for example through anonymization, and support compliance with data protection regulations such as GDPR.</t>
        </is>
      </c>
      <c r="H32" s="5" t="inlineStr">
        <is>
          <t>Though inherently interpretable models are transparent by design, the privacy metrics would ensure that this transparency does not compromise sensitive data by: (i) measuring risk of sensitive (personal) information exposure; (ii) enforcing data minimization principles to ensure that the model uses only the indispensable data to reduce privacy risks; (iii) Balancing interpretability and data protection (e.g. through anonymization techniques) to maintain explainability while respecting privacy constraints; and, (iv) Supporting compliance with data protection regulations (E.g. by complying with GDPR or other relevant privacy laws).</t>
        </is>
      </c>
      <c r="I32" s="5" t="inlineStr">
        <is>
          <t>Opening the black box: Operational principles, tools and frameworks that advance explainable artificial intelligence (XAI) models, p. 11</t>
        </is>
      </c>
      <c r="J32" s="5" t="b">
        <v>1</v>
      </c>
      <c r="K32" s="5" t="b">
        <v>0</v>
      </c>
      <c r="L32" s="5" t="inlineStr"/>
      <c r="M32" s="5" t="inlineStr">
        <is>
          <t>application</t>
        </is>
      </c>
      <c r="N32" s="5" t="inlineStr">
        <is>
          <t>hard</t>
        </is>
      </c>
      <c r="O32" s="5" t="inlineStr">
        <is>
          <t>privacy_security</t>
        </is>
      </c>
      <c r="P32" s="5" t="n">
        <v>5</v>
      </c>
      <c r="Q32" s="5" t="n">
        <v>4</v>
      </c>
      <c r="R32" s="5" t="inlineStr">
        <is>
          <t>Every element of the answer is taken directly from the evidence: the risk measurement, data minimization, anonymization balance, and GDPR compliance. | The question names the XAI conceptual framework by its content and sets out the scenario. Nothing in it points to an unseen source. | value: These are useful, applied privacy safeguards for interpretable AI in higher education.</t>
        </is>
      </c>
      <c r="S32" s="5" t="inlineStr">
        <is>
          <t>A university wants to use a transparent, interpretable model on student records to identify at-risk students. What privacy measures do the privacy metrics in the XAI conceptual framework involve to keep transparency from exposing sensitive data?</t>
        </is>
      </c>
      <c r="T32" s="5" t="inlineStr">
        <is>
          <t>When a university applies an inherently interpretable model to student data, how do privacy metrics in the XAI conceptual framework protect sensitive information?</t>
        </is>
      </c>
      <c r="U32" s="5" t="inlineStr">
        <is>
          <t>full_v1</t>
        </is>
      </c>
      <c r="V32" s="5" t="inlineStr">
        <is>
          <t>opening-the-black-box-operational-principles:0015:q0</t>
        </is>
      </c>
    </row>
    <row r="33">
      <c r="A33" s="5" t="n">
        <v>32</v>
      </c>
      <c r="B33" s="5" t="b">
        <v>1</v>
      </c>
      <c r="C33" s="6" t="n"/>
      <c r="D33" s="6" t="n"/>
      <c r="E33" s="5" t="n"/>
      <c r="F33" s="5" t="inlineStr">
        <is>
          <t>What behavior of an AI system that is gullible and easily fooled shows a lack of robustness?</t>
        </is>
      </c>
      <c r="G33" s="5" t="inlineStr">
        <is>
          <t>A safe AI system has to be robust, able to handle adversarial inputs, and not be gullible and easily fooled. Being fooled includes providing high confidence predictions for unrecognizable images.</t>
        </is>
      </c>
      <c r="H33" s="5" t="inlineStr">
        <is>
          <t>It also has to be robust, be able to handle adversarial inputs (as shown in Figure 1.1), and not be gullible and easily fooled, providing high confidence predictions for unrecognizable images 7 .</t>
        </is>
      </c>
      <c r="I33" s="5" t="inlineStr">
        <is>
          <t>Responsible AI in the Enterprise, p. 35</t>
        </is>
      </c>
      <c r="J33" s="5" t="b">
        <v>1</v>
      </c>
      <c r="K33" s="5" t="b">
        <v>1</v>
      </c>
      <c r="L33" s="5" t="inlineStr"/>
      <c r="M33" s="5" t="inlineStr">
        <is>
          <t>factual</t>
        </is>
      </c>
      <c r="N33" s="5" t="inlineStr">
        <is>
          <t>easy</t>
        </is>
      </c>
      <c r="O33" s="5" t="inlineStr">
        <is>
          <t>general</t>
        </is>
      </c>
      <c r="P33" s="5" t="n">
        <v>4</v>
      </c>
      <c r="Q33" s="5" t="n">
        <v>4</v>
      </c>
      <c r="R33" s="5" t="inlineStr">
        <is>
          <t>The core content (robust, handles adversarial inputs, not gullible, high-confidence predictions for unrecognizable images) is stated. Labelling the system a "safe" AI system is a minor addition, since the evidence only says "it". | The question is self-contained and needs no reference to a source. | value: It covers useful knowledge about AI robustness and adversarial vulnerability.</t>
        </is>
      </c>
      <c r="S33" s="5" t="inlineStr">
        <is>
          <t>Which behavior shows that a gullible, easily fooled AI system is not robust?</t>
        </is>
      </c>
      <c r="T33" s="5" t="inlineStr">
        <is>
          <t>What does a non-robust AI system that is easily fooled do that reveals its weakness?</t>
        </is>
      </c>
      <c r="U33" s="5" t="inlineStr">
        <is>
          <t>full_v1</t>
        </is>
      </c>
      <c r="V33" s="5" t="inlineStr">
        <is>
          <t>responsible-ai-in-the-enterprise-practical-ai:0024:q1</t>
        </is>
      </c>
    </row>
    <row r="34">
      <c r="A34" s="5" t="n">
        <v>33</v>
      </c>
      <c r="B34" s="5" t="b">
        <v>0</v>
      </c>
      <c r="C34" s="6" t="n"/>
      <c r="D34" s="6" t="n"/>
      <c r="E34" s="5" t="n"/>
      <c r="F34" s="5" t="inlineStr">
        <is>
          <t>What did publication bias diagnostics show in a meta-analysis of AI literacy interventions, and what limitation applied?</t>
        </is>
      </c>
      <c r="G34" s="5" t="inlineStr">
        <is>
          <t>The fail-safe N was 190,005, far exceeding the threshold of 870, and Trim-and-Fill gave an L0+ of 0, meaning no missing effect sizes were imputed. These diagnostics did not indicate clear evidence of publication bias, while their interpretation remains limited.</t>
        </is>
      </c>
      <c r="H34" s="5" t="inlineStr">
        <is>
          <t>The fail-safe N value was 190,005, far exceeding the threshold of 5k + 10 (i.e., 870). Moreover, the Trim-and-Fill method showed an L0+ value of 0, indicating that no missing effect sizes were imputed. These diagnostics did not indicate clear evidence of publication bias, while their interpretation remains limited.</t>
        </is>
      </c>
      <c r="I34" s="5" t="inlineStr">
        <is>
          <t>AI literacy interventions in education: A meta-analysis of effects and moderators, p. 10</t>
        </is>
      </c>
      <c r="J34" s="5" t="b">
        <v>0</v>
      </c>
      <c r="K34" s="5" t="b">
        <v>0</v>
      </c>
      <c r="L34" s="5" t="inlineStr">
        <is>
          <t>low_value(2)</t>
        </is>
      </c>
      <c r="M34" s="5" t="inlineStr">
        <is>
          <t>explanation</t>
        </is>
      </c>
      <c r="N34" s="5" t="inlineStr">
        <is>
          <t>medium</t>
        </is>
      </c>
      <c r="O34" s="5" t="inlineStr">
        <is>
          <t>monitoring_improvement</t>
        </is>
      </c>
      <c r="P34" s="5" t="n">
        <v>5</v>
      </c>
      <c r="Q34" s="5" t="n">
        <v>2</v>
      </c>
      <c r="R34" s="5" t="inlineStr">
        <is>
          <t>The answer restates the evidence nearly verbatim, including the fail-safe N, the threshold, the L0+ value, and the stated limitation. | The question names the study by its content (a meta-analysis of AI literacy interventions) and needs no unseen context. | value: Publication bias diagnostics are research methodology details, and the limitation stays vague.</t>
        </is>
      </c>
      <c r="S34" s="5" t="inlineStr">
        <is>
          <t>Did a meta-analysis of AI literacy interventions find clear publication bias, and how reliable was that conclusion?</t>
        </is>
      </c>
      <c r="T34" s="5" t="inlineStr">
        <is>
          <t>What did the fail-safe N and Trim-and-Fill results indicate in the AI literacy intervention meta-analysis?</t>
        </is>
      </c>
      <c r="U34" s="5" t="inlineStr">
        <is>
          <t>full_v1</t>
        </is>
      </c>
      <c r="V34" s="5" t="inlineStr">
        <is>
          <t>ai-literacy-interventions-in-education:0013:q4</t>
        </is>
      </c>
    </row>
    <row r="35">
      <c r="A35" s="5" t="n">
        <v>34</v>
      </c>
      <c r="B35" s="5" t="b">
        <v>0</v>
      </c>
      <c r="C35" s="6" t="n"/>
      <c r="D35" s="6" t="n"/>
      <c r="E35" s="5" t="n"/>
      <c r="F35" s="5" t="inlineStr">
        <is>
          <t>A multinational university network wants to use one AI literacy scale across its campuses and disciplines. What challenge does a 2019-2023 review point to, and what does it imply for how instruments should be validated?</t>
        </is>
      </c>
      <c r="G35" s="5" t="inlineStr">
        <is>
          <t>A 2019-2023 review documented wide variation in constructs and methods in AI literacy work, which complicates cross-cultural and cross-disciplinary application. Future efforts should prioritize multidimensional, higher education-ready instruments that are validated across diverse institutional and cultural settings.</t>
        </is>
      </c>
      <c r="H35" s="5" t="inlineStr">
        <is>
          <t>Another review (2019-2023) highlighted growing attention to AI literacy but documented wide variation in constructs and methods, complicating cross-cultural and crossdisciplinary application (Almatrafi et al., 2024). … Future efforts should prioritize multidimensional, higher education-ready instruments that integrate technical, ethical, and pedagogical competencies and are validated across diverse institutional and cultural settings.</t>
        </is>
      </c>
      <c r="I35" s="5" t="inlineStr">
        <is>
          <t>AI and Security in China’s Higher Education, pp. 97-98</t>
        </is>
      </c>
      <c r="J35" s="5" t="b">
        <v>1</v>
      </c>
      <c r="K35" s="5" t="b">
        <v>0</v>
      </c>
      <c r="L35" s="5" t="inlineStr"/>
      <c r="M35" s="5" t="inlineStr">
        <is>
          <t>application</t>
        </is>
      </c>
      <c r="N35" s="5" t="inlineStr">
        <is>
          <t>hard</t>
        </is>
      </c>
      <c r="O35" s="5" t="inlineStr">
        <is>
          <t>monitoring_improvement</t>
        </is>
      </c>
      <c r="P35" s="5" t="n">
        <v>5</v>
      </c>
      <c r="Q35" s="5" t="n">
        <v>4</v>
      </c>
      <c r="R35" s="5" t="inlineStr">
        <is>
          <t>Both the documented variation in constructs and methods and the validation recommendation are stated directly in the evidence. The answer omits the 'integrate technical, ethical, and pedagogical competencies' clause but adds nothing unsupported. | The question identifies the review by its time span and lays out a clear scenario. It uses no source-dependent wording. | value: It gives useful, applied knowledge about cross-context validity of AI literacy measurement in higher education.</t>
        </is>
      </c>
      <c r="S35" s="5" t="inlineStr">
        <is>
          <t>Several campuses in different countries and disciplines want a shared AI literacy measure; what difficulty did a 2019-2023 review identify and how should instruments be validated?</t>
        </is>
      </c>
      <c r="T35" s="5" t="inlineStr">
        <is>
          <t>If a global university consortium plans to apply a single AI literacy measure across all its campuses and fields of study, what difficulty does a review covering 2019-2023 identify, and what does that suggest about how such instruments ought to be validated?</t>
        </is>
      </c>
      <c r="U35" s="5" t="inlineStr">
        <is>
          <t>full_v1</t>
        </is>
      </c>
      <c r="V35" s="5" t="inlineStr">
        <is>
          <t>ai-and-security-in-china-s-higher-education:0051:q4</t>
        </is>
      </c>
    </row>
    <row r="36">
      <c r="A36" s="5" t="n">
        <v>35</v>
      </c>
      <c r="B36" s="5" t="b">
        <v>0</v>
      </c>
      <c r="C36" s="6" t="n"/>
      <c r="D36" s="6" t="n"/>
      <c r="E36" s="5" t="n"/>
      <c r="F36" s="5" t="inlineStr">
        <is>
          <t>An Arab university wants to make AI commercialization attractive to industry and also build a skilled AI workforce. What university policies and educational programs apply?</t>
        </is>
      </c>
      <c r="G36" s="5" t="inlineStr">
        <is>
          <t>The university should implement flexible IP and licensing policies, including tiered licensing models with exclusive or revenue-sharing agreements, and establish AI Innovation and Commercialization Funds to support university-led AI startups with structured policies on equity and royalties. It should embed experiential learning through co-supervised research projects, corporate-sponsored AI competitions, and paid internships. Micro-credentialing programs and AI fellowships can provide continuous AI education, ensuring a highly skilled workforce capable of advancing AI innovation.</t>
        </is>
      </c>
      <c r="H36" s="5" t="inlineStr">
        <is>
          <t>To institutionalize AI collaboration, universities must implement flexible IP and licensing policies that encourage industry participation. Tiered licensing models, offering exclusive or revenue-sharing agreements, can make AI commercialization more attractive to businesses. AI Innovation and Commercialization Funds should be established to support university-led AI startups with structured policies on equity and royalties. … Experiential learning should also be embedded into AI education through co-supervised research projects, corporate-sponsored AI competitions, and paid internships. Furthermore, micro-credentialing programs and AI fellowships can provide continuous AI education, ensuring a highly skilled workforce capable of advancing AI innovation.</t>
        </is>
      </c>
      <c r="I36" s="5" t="inlineStr">
        <is>
          <t>Higher Education in the Arab World, p. 458</t>
        </is>
      </c>
      <c r="J36" s="5" t="b">
        <v>1</v>
      </c>
      <c r="K36" s="5" t="b">
        <v>0</v>
      </c>
      <c r="L36" s="5" t="inlineStr"/>
      <c r="M36" s="5" t="inlineStr">
        <is>
          <t>application</t>
        </is>
      </c>
      <c r="N36" s="5" t="inlineStr">
        <is>
          <t>hard</t>
        </is>
      </c>
      <c r="O36" s="5" t="inlineStr">
        <is>
          <t>teaching_learning</t>
        </is>
      </c>
      <c r="P36" s="5" t="n">
        <v>5</v>
      </c>
      <c r="Q36" s="5" t="n">
        <v>4</v>
      </c>
      <c r="R36" s="5" t="inlineStr">
        <is>
          <t>Every recommendation in the answer is stated almost verbatim in the evidence: tiered licensing, innovation funds with equity and royalty policies, experiential learning, micro-credentials and fellowships. | The question describes a clear scenario and does not refer to any unseen source or undefined terms. | value: It gives useful institutional policy recommendations for university–industry AI collaboration and workforce development.</t>
        </is>
      </c>
      <c r="S36" s="5" t="inlineStr">
        <is>
          <t>A university in the Arab world aims to draw industry into AI commercialization and develop skilled AI talent. Which policies and programs apply?</t>
        </is>
      </c>
      <c r="T36" s="5" t="inlineStr">
        <is>
          <t>Which university policies and educational programs should an Arab university put in place to make AI commercialization appealing to industry while also developing a skilled AI workforce?</t>
        </is>
      </c>
      <c r="U36" s="5" t="inlineStr">
        <is>
          <t>full_v1</t>
        </is>
      </c>
      <c r="V36" s="5" t="inlineStr">
        <is>
          <t>higher-education-in-arab:0253:q4</t>
        </is>
      </c>
    </row>
    <row r="37">
      <c r="A37" s="5" t="n">
        <v>36</v>
      </c>
      <c r="B37" s="5" t="b">
        <v>0</v>
      </c>
      <c r="C37" s="6" t="n"/>
      <c r="D37" s="6" t="n"/>
      <c r="E37" s="5" t="n"/>
      <c r="F37" s="5" t="inlineStr">
        <is>
          <t>In research on teachers' AI anxiety, what does it mean to say that Internet reliability is a critical moderator of AI anxiety among educators?</t>
        </is>
      </c>
      <c r="G37" s="5" t="inlineStr">
        <is>
          <t>Internet reliability influences both the extent of anxiety educators experience and their perceived ability to configure and effectively use AI technologies. Findings therefore call for systemic efforts to ensure equitable infrastructure and comprehensive psychological support to maximize educator readiness and sustained AI integration.</t>
        </is>
      </c>
      <c r="H37" s="5" t="inlineStr">
        <is>
          <t>In sum, the reliability of Internet access constitutes a critical moderator of AI anxiety among educators, influencing both the extent of anxiety experienced and the perceived ability to configure and effectively use AI technologies. These insights call for systemic efforts to ensure equitable infrastructure and comprehensive psychological support to maximize educator readiness and sustained AI integration [8], [23].</t>
        </is>
      </c>
      <c r="I37" s="5" t="inlineStr">
        <is>
          <t>Comparative Analysis of Artificial Intelligence Anxiety among Preservice and In-service Teachers: The Role of Gender and Internet Reliability, p. 7</t>
        </is>
      </c>
      <c r="J37" s="5" t="b">
        <v>1</v>
      </c>
      <c r="K37" s="5" t="b">
        <v>0</v>
      </c>
      <c r="L37" s="5" t="inlineStr"/>
      <c r="M37" s="5" t="inlineStr">
        <is>
          <t>definition</t>
        </is>
      </c>
      <c r="N37" s="5" t="inlineStr">
        <is>
          <t>medium</t>
        </is>
      </c>
      <c r="O37" s="5" t="inlineStr">
        <is>
          <t>equity_accessibility</t>
        </is>
      </c>
      <c r="P37" s="5" t="n">
        <v>5</v>
      </c>
      <c r="Q37" s="5" t="n">
        <v>4</v>
      </c>
      <c r="R37" s="5" t="inlineStr">
        <is>
          <t>Both sentences directly restate the evidence, covering the dual influence and the call for infrastructure and psychological support. | The question names the research topic and the concept without referring to an unseen source. | value: Useful finding on infrastructure as a factor in educator AI anxiety and readiness.</t>
        </is>
      </c>
      <c r="S37" s="5" t="inlineStr">
        <is>
          <t>What role does Internet reliability play as a moderator of educators' AI anxiety?</t>
        </is>
      </c>
      <c r="T37" s="5" t="inlineStr">
        <is>
          <t>What is meant by describing the reliability of Internet access as a critical moderator of AI anxiety in educators?</t>
        </is>
      </c>
      <c r="U37" s="5" t="inlineStr">
        <is>
          <t>full_v1</t>
        </is>
      </c>
      <c r="V37" s="5" t="inlineStr">
        <is>
          <t>comparative-analysis-of-artificial-intelligence:0006:q1</t>
        </is>
      </c>
    </row>
    <row r="38">
      <c r="A38" s="5" t="n">
        <v>37</v>
      </c>
      <c r="B38" s="5" t="b">
        <v>0</v>
      </c>
      <c r="C38" s="6" t="n"/>
      <c r="D38" s="6" t="n"/>
      <c r="E38" s="5" t="n"/>
      <c r="F38" s="5" t="inlineStr">
        <is>
          <t>In research on AI anxiety among pre-service teachers, how did the gender difference in the Learning dimension compare in statistical significance and practical importance?</t>
        </is>
      </c>
      <c r="G38" s="5" t="inlineStr">
        <is>
          <t>Female pre-service teachers reported slightly higher anxiety in the Learning dimension (M = 3.23) than males (M = 3.04), and the difference was statistically significant, t(228)=12.55, p&lt;.001. However, the effect size was negligible (d=0.11), indicating minimal practical importance.</t>
        </is>
      </c>
      <c r="H38" s="5" t="inlineStr">
        <is>
          <t>Female pre-service teachers reported slightly higher anxiety in the Learning dimension (M = 3.23, SD = 0.11) compared to males (M = 3.04, SD = 0.09), t(228)=12.55, p&lt;.001, though the effect size was negligible (d=0.11), indicating minimal practical importance.</t>
        </is>
      </c>
      <c r="I38" s="5" t="inlineStr">
        <is>
          <t>Comparative Analysis of Artificial Intelligence Anxiety among Preservice and In-service Teachers: The Role of Gender and Internet Reliability, p. 5</t>
        </is>
      </c>
      <c r="J38" s="5" t="b">
        <v>1</v>
      </c>
      <c r="K38" s="5" t="b">
        <v>1</v>
      </c>
      <c r="L38" s="5" t="inlineStr"/>
      <c r="M38" s="5" t="inlineStr">
        <is>
          <t>definition</t>
        </is>
      </c>
      <c r="N38" s="5" t="inlineStr">
        <is>
          <t>medium</t>
        </is>
      </c>
      <c r="O38" s="5" t="inlineStr">
        <is>
          <t>teaching_learning</t>
        </is>
      </c>
      <c r="P38" s="5" t="n">
        <v>4</v>
      </c>
      <c r="Q38" s="5" t="n">
        <v>3</v>
      </c>
      <c r="R38" s="5" t="inlineStr">
        <is>
          <t>The answer restates the evidence with only minor rewording. Explicitly calling the difference "statistically significant" is a trivial inference from p&lt;.001. | The question names its topic (AI anxiety among pre-service teachers, the Learning dimension) and needs no unseen context. | value: This is a narrow statistical finding, though it usefully contrasts statistical significance with practical importance.</t>
        </is>
      </c>
      <c r="S38" s="5" t="inlineStr">
        <is>
          <t>For pre-service teachers' AI anxiety in the Learning dimension, how did the gender difference compare in statistical significance and effect size?</t>
        </is>
      </c>
      <c r="T38" s="5" t="inlineStr">
        <is>
          <t>What did research on pre-service teachers find about whether the gender difference in Learning-dimension AI anxiety was statistically significant and practically important?</t>
        </is>
      </c>
      <c r="U38" s="5" t="inlineStr">
        <is>
          <t>full_v1</t>
        </is>
      </c>
      <c r="V38" s="5" t="inlineStr">
        <is>
          <t>comparative-analysis-of-artificial-intelligence:0004:q2</t>
        </is>
      </c>
    </row>
    <row r="39">
      <c r="A39" s="5" t="n">
        <v>38</v>
      </c>
      <c r="B39" s="5" t="b">
        <v>0</v>
      </c>
      <c r="C39" s="6" t="n"/>
      <c r="D39" s="6" t="n"/>
      <c r="E39" s="5" t="n"/>
      <c r="F39" s="5" t="inlineStr">
        <is>
          <t>For which aspects of AI compliance should enterprise teams be familiar with ISO guidelines and principles on AI?</t>
        </is>
      </c>
      <c r="G39" s="5" t="inlineStr">
        <is>
          <t>Teams should be acquainted with these guidelines and principles for compliance with the ethics, privacy, safety, trust, and cybersecurity aspects of AI.</t>
        </is>
      </c>
      <c r="H39" s="5" t="inlineStr">
        <is>
          <t>Ensure your team is acquainted with these guidelines and principles for compliance with the ethics, privacy, safety, trust, and cybersecurity aspects of AI.</t>
        </is>
      </c>
      <c r="I39" s="5" t="inlineStr">
        <is>
          <t>Responsible AI in the Enterprise, p. 145</t>
        </is>
      </c>
      <c r="J39" s="5" t="b">
        <v>1</v>
      </c>
      <c r="K39" s="5" t="b">
        <v>1</v>
      </c>
      <c r="L39" s="5" t="inlineStr"/>
      <c r="M39" s="5" t="inlineStr">
        <is>
          <t>definition</t>
        </is>
      </c>
      <c r="N39" s="5" t="inlineStr">
        <is>
          <t>medium</t>
        </is>
      </c>
      <c r="O39" s="5" t="inlineStr">
        <is>
          <t>governance</t>
        </is>
      </c>
      <c r="P39" s="5" t="n">
        <v>4</v>
      </c>
      <c r="Q39" s="5" t="n">
        <v>3</v>
      </c>
      <c r="R39" s="5" t="inlineStr">
        <is>
          <t>The answer restates the evidence's list of aspects (ethics, privacy, safety, trust, cybersecurity). The quoted evidence refers only to 'these guidelines' and does not itself confirm they are ISO guidelines. | The question names ISO guidelines and enterprise teams explicitly and does not rely on any unseen context. | value: It is acceptable but narrow knowledge about which compliance aspects ISO AI guidelines cover.</t>
        </is>
      </c>
      <c r="S39" s="5" t="inlineStr">
        <is>
          <t>Which aspects of AI compliance should enterprise teams understand ISO AI guidelines and principles in order to address?</t>
        </is>
      </c>
      <c r="T39" s="5" t="inlineStr">
        <is>
          <t>Enterprise teams should be acquainted with ISO guidelines and principles on AI for compliance with which aspects of AI?</t>
        </is>
      </c>
      <c r="U39" s="5" t="inlineStr">
        <is>
          <t>full_v1</t>
        </is>
      </c>
      <c r="V39" s="5" t="inlineStr">
        <is>
          <t>responsible-ai-in-the-enterprise-practical-ai:0085:q4</t>
        </is>
      </c>
    </row>
    <row r="40">
      <c r="A40" s="5" t="n">
        <v>39</v>
      </c>
      <c r="B40" s="5" t="b">
        <v>1</v>
      </c>
      <c r="C40" s="6" t="n"/>
      <c r="D40" s="6" t="n"/>
      <c r="E40" s="5" t="n"/>
      <c r="F40" s="5" t="inlineStr">
        <is>
          <t>What are human-in-the-loop AI systems in mathematics education, and what roles do AI and teachers play in them?</t>
        </is>
      </c>
      <c r="G40" s="5" t="inlineStr">
        <is>
          <t>Human-in-the-loop AI systems are ones where artificial intelligence supports instruction while teachers remain central in guiding learning decisions. AI can analyze students' responses to mathematical problems, detect misconceptions, and generate adaptive tasks, while teachers interpret these insights to provide targeted explanations and scaffolding.</t>
        </is>
      </c>
      <c r="H40" s="5" t="inlineStr">
        <is>
          <t>Future research may also examine the role of human-in-the-loop AI systems in mathematics education, where artificial intelligence supports instruction while teachers remain central in guiding learning decisions. … In this scenario, AI systems can analyze students' responses to mathematical problems, detect misconceptions, and generate adaptive tasks, while teachers interpret these insights to provide targeted explanations and scaffolding.</t>
        </is>
      </c>
      <c r="I40" s="5" t="inlineStr">
        <is>
          <t>AI integration in mathematics education: A systematic review of implementation challenges and pedagogical implications (2017-2025), p. 12</t>
        </is>
      </c>
      <c r="J40" s="5" t="b">
        <v>1</v>
      </c>
      <c r="K40" s="5" t="b">
        <v>0</v>
      </c>
      <c r="L40" s="5" t="inlineStr"/>
      <c r="M40" s="5" t="inlineStr">
        <is>
          <t>definition</t>
        </is>
      </c>
      <c r="N40" s="5" t="inlineStr">
        <is>
          <t>medium</t>
        </is>
      </c>
      <c r="O40" s="5" t="inlineStr">
        <is>
          <t>teaching_learning</t>
        </is>
      </c>
      <c r="P40" s="5" t="n">
        <v>5</v>
      </c>
      <c r="Q40" s="5" t="n">
        <v>4</v>
      </c>
      <c r="R40" s="5" t="inlineStr">
        <is>
          <t>The answer restates the evidence's definition and the roles of AI and teachers almost verbatim, adding nothing beyond it. | The question names a clear concept and context and does not refer to any unseen source. | value: It explains a useful responsible-AI concept, human oversight in AI-supported instruction, in a specific subject context.</t>
        </is>
      </c>
      <c r="S40" s="5" t="inlineStr">
        <is>
          <t>How are human-in-the-loop AI systems in mathematics education defined in terms of the roles of AI and teachers?</t>
        </is>
      </c>
      <c r="T40" s="5" t="inlineStr">
        <is>
          <t>What does a human-in-the-loop AI system in mathematics education involve for AI and for teachers?</t>
        </is>
      </c>
      <c r="U40" s="5" t="inlineStr">
        <is>
          <t>full_v1</t>
        </is>
      </c>
      <c r="V40" s="5" t="inlineStr">
        <is>
          <t>ai-integration-in-mathematics-education:0018:q2</t>
        </is>
      </c>
    </row>
    <row r="41">
      <c r="A41" s="5" t="n">
        <v>40</v>
      </c>
      <c r="B41" s="5" t="b">
        <v>0</v>
      </c>
      <c r="C41" s="6" t="n"/>
      <c r="D41" s="6" t="n"/>
      <c r="E41" s="5" t="n"/>
      <c r="F41" s="5" t="inlineStr">
        <is>
          <t>A teacher education program wants to adopt generative AI in its assessments, and it wants to choose suitable levels of AI integration while keeping assessments pedagogically meaningful and ethically sound. What approach applies?</t>
        </is>
      </c>
      <c r="G41" s="5" t="inlineStr">
        <is>
          <t>Adopting the SAMR model alongside established ethical guidelines provides a structured pathway for responsible integration of generative AI tools in teacher education. This combined approach guides programs in selecting appropriate levels of AI integration, from substitution to redefinition, and ensures that assessments remain pedagogically meaningful and ethically sound.</t>
        </is>
      </c>
      <c r="H41" s="5" t="inlineStr">
        <is>
          <t>Adopting the SAMR model, as outlined in Table 1, alongside established ethical guidelines provides a structured pathway for the responsible integration of generative AI tools in teacher education. This combined approach not only guides programs in selecting appropriate levels of AI integration, from substitution to redefinition, but also ensures that assessments remain pedagogically meaningful and ethically sound. … At the substitution level, AI tools can replace traditional assessment methods, such as using AI to grade multiple-choice quizzes. Moving to augmentation, these tools not only perform traditional functions but also add features like immediate feedback for student improvement. At the modification level, AI allows for significant redesign of assessments, such as adaptive testing that tailors questions to individual learner profiles. Finally, the redefinition stage represents transformative practices, such as AI-supported collaborative assessments where students work on interdisciplinary projects, with AI providing real-time analysis and suggestions [29].</t>
        </is>
      </c>
      <c r="I41" s="5" t="inlineStr">
        <is>
          <t>Innovative Educational Assessment with Generative AI: Opportunities, Challenges, and Practical Case Studies, p. 253</t>
        </is>
      </c>
      <c r="J41" s="5" t="b">
        <v>1</v>
      </c>
      <c r="K41" s="5" t="b">
        <v>0</v>
      </c>
      <c r="L41" s="5" t="inlineStr"/>
      <c r="M41" s="5" t="inlineStr">
        <is>
          <t>application</t>
        </is>
      </c>
      <c r="N41" s="5" t="inlineStr">
        <is>
          <t>hard</t>
        </is>
      </c>
      <c r="O41" s="5" t="inlineStr">
        <is>
          <t>governance</t>
        </is>
      </c>
      <c r="P41" s="5" t="n">
        <v>5</v>
      </c>
      <c r="Q41" s="5" t="n">
        <v>4</v>
      </c>
      <c r="R41" s="5" t="inlineStr">
        <is>
          <t>The answer restates the evidence almost verbatim: the SAMR model combined with ethical guidelines guides programs in selecting integration levels and keeps assessments meaningful and ethical. | The question describes a scenario with no reference to a source and uses no undefined acronyms. | value: It gives useful, somewhat specific guidance on a framework for integrating AI into assessment.</t>
        </is>
      </c>
      <c r="S41" s="5" t="inlineStr">
        <is>
          <t>Which approach can a teacher education program use to pick appropriate levels of generative AI integration in assessment while keeping them pedagogically meaningful and ethically sound?</t>
        </is>
      </c>
      <c r="T41" s="5" t="inlineStr">
        <is>
          <t>A teacher education program is introducing generative AI into assessment and wants appropriate integration levels that stay pedagogically meaningful and ethical. What should it do?</t>
        </is>
      </c>
      <c r="U41" s="5" t="inlineStr">
        <is>
          <t>full_v1</t>
        </is>
      </c>
      <c r="V41" s="5" t="inlineStr">
        <is>
          <t>innovative-educational:0129:q0</t>
        </is>
      </c>
    </row>
    <row r="42">
      <c r="A42" s="5" t="n">
        <v>41</v>
      </c>
      <c r="B42" s="5" t="b">
        <v>1</v>
      </c>
      <c r="C42" s="6" t="n"/>
      <c r="D42" s="6" t="n"/>
      <c r="E42" s="5" t="n"/>
      <c r="F42" s="5" t="inlineStr">
        <is>
          <t>What does the term generative AI (Gen AI) refer to?</t>
        </is>
      </c>
      <c r="G42" s="5" t="inlineStr">
        <is>
          <t>Gen AI refers to computational techniques capable of generating seemingly new and meaningful content, such as text, images, or audio, from training data.</t>
        </is>
      </c>
      <c r="H42" s="5" t="inlineStr">
        <is>
          <t>The term Gen AI refers to computational techniques capable of generating seemingly new and meaningful content, such as text, images, or audio from training data (Granda et al. 2024).</t>
        </is>
      </c>
      <c r="I42" s="5" t="inlineStr">
        <is>
          <t>AI Roles and Responsibilities in Education, p. 271</t>
        </is>
      </c>
      <c r="J42" s="5" t="b">
        <v>1</v>
      </c>
      <c r="K42" s="5" t="b">
        <v>0</v>
      </c>
      <c r="L42" s="5" t="inlineStr"/>
      <c r="M42" s="5" t="inlineStr">
        <is>
          <t>definition</t>
        </is>
      </c>
      <c r="N42" s="5" t="inlineStr">
        <is>
          <t>easy</t>
        </is>
      </c>
      <c r="O42" s="5" t="inlineStr">
        <is>
          <t>general</t>
        </is>
      </c>
      <c r="P42" s="5" t="n">
        <v>5</v>
      </c>
      <c r="Q42" s="5" t="n">
        <v>5</v>
      </c>
      <c r="R42" s="5" t="inlineStr">
        <is>
          <t>The answer restates the evidence almost verbatim, and every statement in it is directly supported. | The question asks for a definition of a commonly known term and defines its acronym inline, so it needs no source context. | value: Defining generative AI is core domain knowledge.</t>
        </is>
      </c>
      <c r="S42" s="5" t="inlineStr">
        <is>
          <t>How is generative AI defined?</t>
        </is>
      </c>
      <c r="T42" s="5" t="inlineStr">
        <is>
          <t>What is meant by Gen AI?</t>
        </is>
      </c>
      <c r="U42" s="5" t="inlineStr">
        <is>
          <t>full_v1</t>
        </is>
      </c>
      <c r="V42" s="5" t="inlineStr">
        <is>
          <t>ai-roles:0157:q2</t>
        </is>
      </c>
    </row>
    <row r="43">
      <c r="A43" s="5" t="n">
        <v>42</v>
      </c>
      <c r="B43" s="5" t="b">
        <v>1</v>
      </c>
      <c r="C43" s="6" t="n"/>
      <c r="D43" s="6" t="n"/>
      <c r="E43" s="5" t="n"/>
      <c r="F43" s="5" t="inlineStr">
        <is>
          <t>What risks are reduced when transparency and accountability are combined in AI systems?</t>
        </is>
      </c>
      <c r="G43" s="5" t="inlineStr">
        <is>
          <t>By combining transparency and accountability, AI systems can operate with a higher degree of safety and security, reducing the potential risks associated with data breaches, system vulnerabilities, or malicious attacks.</t>
        </is>
      </c>
      <c r="H43" s="5" t="inlineStr">
        <is>
          <t>By combining transparency and accountability, AI systems can operate with a higher degree of safety and security, reducing the potential risks associated with data breaches, system vulnerabilities, or malicious attacks [23-25].</t>
        </is>
      </c>
      <c r="I43" s="5" t="inlineStr">
        <is>
          <t>Towards Ethical and Socially Responsible Explainable AI, p. 159</t>
        </is>
      </c>
      <c r="J43" s="5" t="b">
        <v>1</v>
      </c>
      <c r="K43" s="5" t="b">
        <v>0</v>
      </c>
      <c r="L43" s="5" t="inlineStr"/>
      <c r="M43" s="5" t="inlineStr">
        <is>
          <t>factual</t>
        </is>
      </c>
      <c r="N43" s="5" t="inlineStr">
        <is>
          <t>easy</t>
        </is>
      </c>
      <c r="O43" s="5" t="inlineStr">
        <is>
          <t>privacy_security</t>
        </is>
      </c>
      <c r="P43" s="5" t="n">
        <v>5</v>
      </c>
      <c r="Q43" s="5" t="n">
        <v>4</v>
      </c>
      <c r="R43" s="5" t="inlineStr">
        <is>
          <t>The answer restates the evidence almost verbatim, listing data breaches, system vulnerabilities and malicious attacks. | The question is self-contained and makes no reference to a source. | value: It covers useful responsible-AI knowledge linking transparency and accountability to security risk reduction.</t>
        </is>
      </c>
      <c r="S43" s="5" t="inlineStr">
        <is>
          <t>What potential risks decline when AI systems have both transparency and accountability?</t>
        </is>
      </c>
      <c r="T43" s="5" t="inlineStr">
        <is>
          <t>Combining transparency and accountability lowers which risks for AI systems?</t>
        </is>
      </c>
      <c r="U43" s="5" t="inlineStr">
        <is>
          <t>full_v1</t>
        </is>
      </c>
      <c r="V43" s="5" t="inlineStr">
        <is>
          <t>towards-ethical:0082:q4</t>
        </is>
      </c>
    </row>
    <row r="44">
      <c r="A44" s="5" t="n">
        <v>43</v>
      </c>
      <c r="B44" s="5" t="b">
        <v>0</v>
      </c>
      <c r="C44" s="6" t="n"/>
      <c r="D44" s="6" t="n"/>
      <c r="E44" s="5" t="n"/>
      <c r="F44" s="5" t="inlineStr">
        <is>
          <t>What measures should institutions using AI in admissions put in place to protect data and preserve ethical standards?</t>
        </is>
      </c>
      <c r="G44" s="5" t="inlineStr">
        <is>
          <t>Institutions must establish comprehensive data governance policies that dictate the collection, storage, and usage of personal information, while strictly adhering to relevant privacy laws and regulations. Regular audits of AI systems are crucial to safeguard system integrity and prevent security and privacy breaches. Human oversight in critical decisions such as admissions is needed to preserve ethical standards and maintain contextual understanding that technology alone cannot provide.</t>
        </is>
      </c>
      <c r="H44" s="5" t="inlineStr">
        <is>
          <t>To achieve this, institutions must establish comprehensive data governance policies that dictate the collection, storage, and usage of personal information, while strictly adhering to relevant privacy laws and regulations. Furthermore, regular audits of AI systems are crucial to safeguard system integrity and prevent security and privacy breaches. Equally important is the need for human oversight in critical decisions, such as admissions, to preserve ethical standards and maintain the contextual understanding that technology alone cannot provide.</t>
        </is>
      </c>
      <c r="I44" s="5" t="inlineStr">
        <is>
          <t>Higher Education in the Arab World, p. 59</t>
        </is>
      </c>
      <c r="J44" s="5" t="b">
        <v>1</v>
      </c>
      <c r="K44" s="5" t="b">
        <v>0</v>
      </c>
      <c r="L44" s="5" t="inlineStr"/>
      <c r="M44" s="5" t="inlineStr">
        <is>
          <t>definition</t>
        </is>
      </c>
      <c r="N44" s="5" t="inlineStr">
        <is>
          <t>medium</t>
        </is>
      </c>
      <c r="O44" s="5" t="inlineStr">
        <is>
          <t>governance</t>
        </is>
      </c>
      <c r="P44" s="5" t="n">
        <v>5</v>
      </c>
      <c r="Q44" s="5" t="n">
        <v>4</v>
      </c>
      <c r="R44" s="5" t="inlineStr">
        <is>
          <t>Every statement in the answer is taken almost verbatim from the evidence: data governance policies, compliance with privacy law, regular audits, and human oversight in admissions. | The question is self-contained and makes no reference to a source or to unseen context. | value: These are practical, responsible-AI safeguards for admissions in higher education.</t>
        </is>
      </c>
      <c r="S44" s="5" t="inlineStr">
        <is>
          <t>Which governance steps should institutions take for AI-supported admissions to protect data and ethics?</t>
        </is>
      </c>
      <c r="T44" s="5" t="inlineStr">
        <is>
          <t>Which steps should institutions that rely on AI for admissions decisions take to safeguard data and uphold ethical standards?</t>
        </is>
      </c>
      <c r="U44" s="5" t="inlineStr">
        <is>
          <t>full_v1</t>
        </is>
      </c>
      <c r="V44" s="5" t="inlineStr">
        <is>
          <t>higher-education-in-arab:0031:q4</t>
        </is>
      </c>
    </row>
    <row r="45">
      <c r="A45" s="5" t="n">
        <v>44</v>
      </c>
      <c r="B45" s="5" t="b">
        <v>0</v>
      </c>
      <c r="C45" s="6" t="n"/>
      <c r="D45" s="6" t="n"/>
      <c r="E45" s="5" t="n"/>
      <c r="F45" s="5" t="inlineStr">
        <is>
          <t>Why is integrating generative AI into teacher education especially complex?</t>
        </is>
      </c>
      <c r="G45" s="5" t="inlineStr">
        <is>
          <t>The task is made more complex by the evolving nature of the technology and the lack of established norms or standards guiding its integration into curriculum and practice. The complexity is further compounded because GenAI is not a singular or uniform technology but an umbrella term for a diverse range of tools, each with distinct affordances, pedagogical potentials, and ethical implications.</t>
        </is>
      </c>
      <c r="H45" s="5" t="inlineStr">
        <is>
          <t>This task is made more complex by the evolving nature of the technology and the lack of established norms or standards guiding its integration into curriculum and practice [11]. Importantly, this complexity is further compounded by the fact that GenAI is not a singular or uniform technology, but rather an umbrella term encompassing a diverse range of tools, each with distinct affordances, pedagogical potentials, and ethical implications.</t>
        </is>
      </c>
      <c r="I45" s="5" t="inlineStr">
        <is>
          <t>Teaching the teachers: A systematic review of genAI-specific technological pedagogical knowledge (TPK) in teacher education, p. 1</t>
        </is>
      </c>
      <c r="J45" s="5" t="b">
        <v>1</v>
      </c>
      <c r="K45" s="5" t="b">
        <v>0</v>
      </c>
      <c r="L45" s="5" t="inlineStr"/>
      <c r="M45" s="5" t="inlineStr">
        <is>
          <t>explanation</t>
        </is>
      </c>
      <c r="N45" s="5" t="inlineStr">
        <is>
          <t>medium</t>
        </is>
      </c>
      <c r="O45" s="5" t="inlineStr">
        <is>
          <t>teaching_learning</t>
        </is>
      </c>
      <c r="P45" s="5" t="n">
        <v>4</v>
      </c>
      <c r="Q45" s="5" t="n">
        <v>4</v>
      </c>
      <c r="R45" s="5" t="inlineStr">
        <is>
          <t>The answer closely restates the evidence. The evidence only says 'this task', so tying it to teacher education is a slight contextual inference. | The question is self-contained and clearly asks why integrating generative AI into teacher education is complex. | value: It identifies useful challenges for integrating generative AI in teacher education.</t>
        </is>
      </c>
      <c r="S45" s="5" t="inlineStr">
        <is>
          <t>What makes it so complicated to bring generative AI into teacher education?</t>
        </is>
      </c>
      <c r="T45" s="5" t="inlineStr">
        <is>
          <t>What makes it particularly complicated to bring generative AI into teacher education?</t>
        </is>
      </c>
      <c r="U45" s="5" t="inlineStr">
        <is>
          <t>full_v1</t>
        </is>
      </c>
      <c r="V45" s="5" t="inlineStr">
        <is>
          <t>teaching-the-teachers-a-systematic-review-of:0000:q2</t>
        </is>
      </c>
    </row>
    <row r="46">
      <c r="A46" s="5" t="n">
        <v>45</v>
      </c>
      <c r="B46" s="5" t="b">
        <v>1</v>
      </c>
      <c r="C46" s="6" t="n"/>
      <c r="D46" s="6" t="n"/>
      <c r="E46" s="5" t="n"/>
      <c r="F46" s="5" t="inlineStr">
        <is>
          <t>What two qualities does a case-study AI sentencing model aim to balance so that recommendations are data-driven while upholding principles of justice?</t>
        </is>
      </c>
      <c r="G46" s="5" t="inlineStr">
        <is>
          <t>The model aims to strike a balance between accuracy and fairness, ensuring that recommendations are data-driven while upholding principles of justice.</t>
        </is>
      </c>
      <c r="H46" s="5" t="inlineStr">
        <is>
          <t>The model aims to strike a balance between accuracy and fairness, ensuring that recommendations are data-driven while upholding principles of justice.</t>
        </is>
      </c>
      <c r="I46" s="5" t="inlineStr">
        <is>
          <t>Towards Ethical and Socially Responsible Explainable AI, p. 157</t>
        </is>
      </c>
      <c r="J46" s="5" t="b">
        <v>1</v>
      </c>
      <c r="K46" s="5" t="b">
        <v>0</v>
      </c>
      <c r="L46" s="5" t="inlineStr"/>
      <c r="M46" s="5" t="inlineStr">
        <is>
          <t>factual</t>
        </is>
      </c>
      <c r="N46" s="5" t="inlineStr">
        <is>
          <t>easy</t>
        </is>
      </c>
      <c r="O46" s="5" t="inlineStr">
        <is>
          <t>equity_accessibility</t>
        </is>
      </c>
      <c r="P46" s="5" t="n">
        <v>5</v>
      </c>
      <c r="Q46" s="5" t="n">
        <v>3</v>
      </c>
      <c r="R46" s="5" t="inlineStr">
        <is>
          <t>The answer restates the evidence verbatim, naming accuracy and fairness as the balanced qualities. | The question identifies the model by its content (an AI sentencing model from a case study) and is understandable without seeing the source, though slightly vague. | value: The accuracy-fairness trade-off is a relevant responsible-AI concept, but this pair is narrow and case-specific.</t>
        </is>
      </c>
      <c r="S46" s="5" t="inlineStr">
        <is>
          <t>To keep recommendations data-driven yet consistent with principles of justice, what two things does an AI sentencing model try to balance?</t>
        </is>
      </c>
      <c r="T46" s="5" t="inlineStr">
        <is>
          <t>In a case study of an AI sentencing model, which two qualities is the model meant to balance so its recommendations rely on data yet remain consistent with principles of justice?</t>
        </is>
      </c>
      <c r="U46" s="5" t="inlineStr">
        <is>
          <t>full_v1</t>
        </is>
      </c>
      <c r="V46" s="5" t="inlineStr">
        <is>
          <t>towards-ethical:0081:q1</t>
        </is>
      </c>
    </row>
    <row r="47">
      <c r="A47" s="5" t="n">
        <v>46</v>
      </c>
      <c r="B47" s="5" t="b">
        <v>1</v>
      </c>
      <c r="C47" s="6" t="n"/>
      <c r="D47" s="6" t="n"/>
      <c r="E47" s="5" t="n"/>
      <c r="F47" s="5" t="inlineStr">
        <is>
          <t>A teacher education program is planning how to cover generative AI ethics and is deciding whether to give bias, privacy, and accountability one separate session or to weave them throughout. What does a systematic review of generative AI-specific technological pedagogical knowledge in teacher education say about how such concerns appeared in the literature and why they were prominent?</t>
        </is>
      </c>
      <c r="G47" s="5" t="inlineStr">
        <is>
          <t>The review found that ethical concerns such as bias, transparency, privacy, authorship, and accountability emerged consistently across studies and were coded as crosscutting analytical features rather than isolated topical issues. Their prominence in the findings reflects the frequency and conceptual significance with which they appeared in the included literature.</t>
        </is>
      </c>
      <c r="H47" s="5" t="inlineStr">
        <is>
          <t>Ethical concerns, such as bias, transparency, privacy, authorship, and accountability, emerged consistently across studies and were therefore coded as crosscutting analytical features rather than isolated topical issues. … Their prominence in the findings reflects the frequency and conceptual significance with which they appeared in the included literature.</t>
        </is>
      </c>
      <c r="I47" s="5" t="inlineStr">
        <is>
          <t>Teaching the teachers: A systematic review of genAI-specific technological pedagogical knowledge (TPK) in teacher education, p. 5</t>
        </is>
      </c>
      <c r="J47" s="5" t="b">
        <v>0</v>
      </c>
      <c r="K47" s="5" t="b">
        <v>1</v>
      </c>
      <c r="L47" s="5" t="inlineStr">
        <is>
          <t>duplicate(answer cos=0.952 of teaching-the-teachers-a-systematic-review-of:0006:q0)</t>
        </is>
      </c>
      <c r="M47" s="5" t="inlineStr">
        <is>
          <t>application</t>
        </is>
      </c>
      <c r="N47" s="5" t="inlineStr">
        <is>
          <t>hard</t>
        </is>
      </c>
      <c r="O47" s="5" t="inlineStr">
        <is>
          <t>teaching_learning</t>
        </is>
      </c>
      <c r="P47" s="5" t="n">
        <v>5</v>
      </c>
      <c r="Q47" s="5" t="n">
        <v>3</v>
      </c>
      <c r="R47" s="5" t="inlineStr">
        <is>
          <t>The answer restates the evidence almost verbatim: ethical concerns appeared consistently, were coded as crosscutting, and were prominent because of frequency and conceptual significance. | The question identifies the systematic review by its content (generative AI-specific technological pedagogical knowledge in teacher education) and does not rely on unseen context. | value: It conveys that ethics is a crosscutting concern in teacher-education AI literature, but this is largely about the review's coding approach, so it is narrow.</t>
        </is>
      </c>
      <c r="S47" s="5" t="inlineStr">
        <is>
          <t>If a teacher education program must choose between one standalone session on generative AI ethics (bias, privacy, accountability) and integrating it throughout, what did a systematic review of generative AI-specific technological pedagogical knowledge find about how these concerns appeared and why they were prominent?</t>
        </is>
      </c>
      <c r="T47" s="5" t="inlineStr">
        <is>
          <t>A teacher preparation program is deciding where to place bias, privacy, and accountability in its generative AI content; what does a systematic review of generative AI-specific technological pedagogical knowledge in teacher education report about how these ethical concerns appeared and why they featured prominently?</t>
        </is>
      </c>
      <c r="U47" s="5" t="inlineStr">
        <is>
          <t>full_v1</t>
        </is>
      </c>
      <c r="V47" s="5" t="inlineStr">
        <is>
          <t>teaching-the-teachers-a-systematic-review-of:0006:q1</t>
        </is>
      </c>
    </row>
    <row r="48">
      <c r="A48" s="5" t="n">
        <v>47</v>
      </c>
      <c r="B48" s="5" t="b">
        <v>0</v>
      </c>
      <c r="C48" s="6" t="n"/>
      <c r="D48" s="6" t="n"/>
      <c r="E48" s="5" t="n"/>
      <c r="F48" s="5" t="inlineStr">
        <is>
          <t>How did the perceived usefulness of AI differ between regular users, occasional users, and non-users among surveyed finance and accounting students?</t>
        </is>
      </c>
      <c r="G48" s="5" t="inlineStr">
        <is>
          <t>Among regular AI users, 92.3% saw AI as useful and 7.7% as useless. Among occasional users, 85.4% saw it as useful and 14.6% as useless. Among non-users, 64.6% observed AI as useless.</t>
        </is>
      </c>
      <c r="H48" s="5" t="inlineStr">
        <is>
          <t>92.3% of respondents with regular usage of AI have seen AI as useful, whereas 7.7% have seen AI as useless to them. Of those respondents with AI usage on occasion, 85.4% have seen AI usage as useful, and only 14.6% have seen AI as useless. … However, from a sample non-AI users' study, it is shown non-AI users have observed AI as impacting life, and 64.6% have observed AI as useless.</t>
        </is>
      </c>
      <c r="I48" s="5" t="inlineStr">
        <is>
          <t>Artificial Intelligence and Accounting Education: Policy, Practice and Research, p. 125</t>
        </is>
      </c>
      <c r="J48" s="5" t="b">
        <v>1</v>
      </c>
      <c r="K48" s="5" t="b">
        <v>0</v>
      </c>
      <c r="L48" s="5" t="inlineStr"/>
      <c r="M48" s="5" t="inlineStr">
        <is>
          <t>explanation</t>
        </is>
      </c>
      <c r="N48" s="5" t="inlineStr">
        <is>
          <t>medium</t>
        </is>
      </c>
      <c r="O48" s="5" t="inlineStr">
        <is>
          <t>student_ai_literacy</t>
        </is>
      </c>
      <c r="P48" s="5" t="n">
        <v>5</v>
      </c>
      <c r="Q48" s="5" t="n">
        <v>3</v>
      </c>
      <c r="R48" s="5" t="inlineStr">
        <is>
          <t>All figures match the evidence exactly. | The question describes the survey population by its content and refers to no unseen context. | value: These are narrow survey statistics on student perceptions of AI usefulness.</t>
        </is>
      </c>
      <c r="S48" s="5" t="inlineStr">
        <is>
          <t>What proportions of regular AI users, occasional AI users, and non-users in a finance and accounting student survey saw AI as useful or useless?</t>
        </is>
      </c>
      <c r="T48" s="5" t="inlineStr">
        <is>
          <t>In a finance and accounting student survey, how did regular users, occasional users, and non-users compare in judging AI useful versus useless?</t>
        </is>
      </c>
      <c r="U48" s="5" t="inlineStr">
        <is>
          <t>full_v1</t>
        </is>
      </c>
      <c r="V48" s="5" t="inlineStr">
        <is>
          <t>artificial-intelligence-and-accounting-education:0073:q1</t>
        </is>
      </c>
    </row>
    <row r="49">
      <c r="A49" s="5" t="n">
        <v>48</v>
      </c>
      <c r="B49" s="5" t="b">
        <v>1</v>
      </c>
      <c r="C49" s="6" t="n"/>
      <c r="D49" s="6" t="n"/>
      <c r="E49" s="5" t="n"/>
      <c r="F49" s="5" t="inlineStr">
        <is>
          <t>Which kinds of cybersecurity incidents are often rooted in human error?</t>
        </is>
      </c>
      <c r="G49" s="5" t="inlineStr">
        <is>
          <t>Human error remains one of the significant factors in cybersecurity breaches, often underlying phishing incidents, bad password practices, and misconfigurations.</t>
        </is>
      </c>
      <c r="H49" s="5" t="inlineStr">
        <is>
          <t>Human error still stands as one of the significant factors in cybersecurity breaches, often underlying phishing incidents, bad password practices, and misconfigurations.</t>
        </is>
      </c>
      <c r="I49" s="5" t="inlineStr">
        <is>
          <t>AI and Digital Transformation: Opportunities, Challenges, and Emerging Threats in Technology, Business, and Security, p. 598</t>
        </is>
      </c>
      <c r="J49" s="5" t="b">
        <v>1</v>
      </c>
      <c r="K49" s="5" t="b">
        <v>1</v>
      </c>
      <c r="L49" s="5" t="inlineStr"/>
      <c r="M49" s="5" t="inlineStr">
        <is>
          <t>factual</t>
        </is>
      </c>
      <c r="N49" s="5" t="inlineStr">
        <is>
          <t>easy</t>
        </is>
      </c>
      <c r="O49" s="5" t="inlineStr">
        <is>
          <t>privacy_security</t>
        </is>
      </c>
      <c r="P49" s="5" t="n">
        <v>5</v>
      </c>
      <c r="Q49" s="5" t="n">
        <v>3</v>
      </c>
      <c r="R49" s="5" t="inlineStr">
        <is>
          <t>The answer is a near-verbatim restatement of the evidence. Every element is directly stated in it. | The question is self-contained and does not refer to any unseen source. | value: This is general cybersecurity knowledge only tangentially tied to responsible AI in higher education, so it is acceptable but narrow.</t>
        </is>
      </c>
      <c r="S49" s="5" t="inlineStr">
        <is>
          <t>What types of cybersecurity incidents commonly stem from human error?</t>
        </is>
      </c>
      <c r="T49" s="5" t="inlineStr">
        <is>
          <t>Human error often lies behind which kinds of incidents that lead to cybersecurity breaches?</t>
        </is>
      </c>
      <c r="U49" s="5" t="inlineStr">
        <is>
          <t>full_v1</t>
        </is>
      </c>
      <c r="V49" s="5" t="inlineStr">
        <is>
          <t>ai-and-digital-transformation:0348:q1</t>
        </is>
      </c>
    </row>
    <row r="50">
      <c r="A50" s="5" t="n">
        <v>49</v>
      </c>
      <c r="B50" s="5" t="b">
        <v>1</v>
      </c>
      <c r="C50" s="6" t="n"/>
      <c r="D50" s="6" t="n"/>
      <c r="E50" s="5" t="n"/>
      <c r="F50" s="5" t="inlineStr">
        <is>
          <t>In machine learning research on anemia diagnosis, what is the difference between binary classification and the multiclass classification that recent work has moved toward?</t>
        </is>
      </c>
      <c r="G50" s="5" t="inlineStr">
        <is>
          <t>Early works focused on binary anemia classification, which separates anemic from nonanemic cases. Recent efforts have moved toward multiclass classification, which distinguishes anemia subtypes such as microcytic, normocytic, and macrocytic.</t>
        </is>
      </c>
      <c r="H50" s="5" t="inlineStr">
        <is>
          <t>While many early works focused on binary anemia classification (i.e. anemic vs. nonanemic), recent efforts have moved toward multiclass classification to distinguish anemia subtypes (e.g., microcytic, normocytic, macrocytic).</t>
        </is>
      </c>
      <c r="I50" s="5" t="inlineStr">
        <is>
          <t>AI and Digital Transformation: Opportunities, Challenges, and Emerging Threats in Technology, Business, and Security, p. 430</t>
        </is>
      </c>
      <c r="J50" s="5" t="b">
        <v>0</v>
      </c>
      <c r="K50" s="5" t="b">
        <v>0</v>
      </c>
      <c r="L50" s="5" t="inlineStr">
        <is>
          <t>low_value(2)</t>
        </is>
      </c>
      <c r="M50" s="5" t="inlineStr">
        <is>
          <t>definition</t>
        </is>
      </c>
      <c r="N50" s="5" t="inlineStr">
        <is>
          <t>easy</t>
        </is>
      </c>
      <c r="O50" s="5" t="inlineStr">
        <is>
          <t>general</t>
        </is>
      </c>
      <c r="P50" s="5" t="n">
        <v>5</v>
      </c>
      <c r="Q50" s="5" t="n">
        <v>2</v>
      </c>
      <c r="R50" s="5" t="inlineStr">
        <is>
          <t>Every statement in the answer is directly stated in the evidence, with only minor rewording. | The question names its context, machine learning research on anemia diagnosis, and contains no references to an unseen source. | value: The pair concerns medical ML classification of anemia, which is tangential to responsible AI in higher education.</t>
        </is>
      </c>
      <c r="S50" s="5" t="inlineStr">
        <is>
          <t>How does binary anemia classification differ from the multiclass classification now used in machine learning anemia research?</t>
        </is>
      </c>
      <c r="T50" s="5" t="inlineStr">
        <is>
          <t>What distinguishes binary from multiclass classification in machine learning studies of anemia diagnosis?</t>
        </is>
      </c>
      <c r="U50" s="5" t="inlineStr">
        <is>
          <t>full_v1</t>
        </is>
      </c>
      <c r="V50" s="5" t="inlineStr">
        <is>
          <t>ai-and-digital-transformation:0248:q0</t>
        </is>
      </c>
    </row>
    <row r="51">
      <c r="A51" s="5" t="n">
        <v>50</v>
      </c>
      <c r="B51" s="5" t="b">
        <v>0</v>
      </c>
      <c r="C51" s="6" t="n"/>
      <c r="D51" s="6" t="n"/>
      <c r="E51" s="5" t="n"/>
      <c r="F51" s="5" t="inlineStr">
        <is>
          <t>What four factors did a factor analysis of an AI-adapted DigCompEdu instrument yield from the framework's six original dimensions?</t>
        </is>
      </c>
      <c r="G51" s="5" t="inlineStr">
        <is>
          <t>The factor analysis condensed the six original DigCompEdu dimensions into four factors: the use of AI for pedagogy and feedback, attitudes toward ethical use and data governance, knowledge of regulatory frameworks, and efforts to mitigate risks associated with AI adoption.</t>
        </is>
      </c>
      <c r="H51" s="5" t="inlineStr">
        <is>
          <t>These factor-analytic results offer a new perspective on the DigCompEdu theoretical framework, synthesizing the six dimensions of the original model into four factors, as outlined in the literature review: (1) the use of AI for pedagogy and feedback, (2) attitudes toward ethical use and data governance, (3) knowledge of regulatory frameworks, and (4) efforts to mitigate risks associated with AI adoption.</t>
        </is>
      </c>
      <c r="I51" s="5" t="inlineStr">
        <is>
          <t>Stakeholder engagement and strategic innovation in higher education through AI competency, p. 7</t>
        </is>
      </c>
      <c r="J51" s="5" t="b">
        <v>1</v>
      </c>
      <c r="K51" s="5" t="b">
        <v>0</v>
      </c>
      <c r="L51" s="5" t="inlineStr"/>
      <c r="M51" s="5" t="inlineStr">
        <is>
          <t>definition</t>
        </is>
      </c>
      <c r="N51" s="5" t="inlineStr">
        <is>
          <t>medium</t>
        </is>
      </c>
      <c r="O51" s="5" t="inlineStr">
        <is>
          <t>faculty_readiness</t>
        </is>
      </c>
      <c r="P51" s="5" t="n">
        <v>5</v>
      </c>
      <c r="Q51" s="5" t="n">
        <v>4</v>
      </c>
      <c r="R51" s="5" t="inlineStr">
        <is>
          <t>The answer restates the four factors and the six-to-four synthesis exactly as the evidence gives them. | The question names the DigCompEdu framework and describes the AI-adapted factor analysis by its content, so it can be understood without the source. | value: It covers a useful but specific finding about the dimensions of educators' AI competence.</t>
        </is>
      </c>
      <c r="S51" s="5" t="inlineStr">
        <is>
          <t>Which four factors emerged when the six DigCompEdu dimensions were synthesized through factor analysis of AI competency data?</t>
        </is>
      </c>
      <c r="T51" s="5" t="inlineStr">
        <is>
          <t>When an AI-adapted version of the DigCompEdu instrument was analyzed with factor analysis, which four factors emerged in place of the framework's six original dimensions?</t>
        </is>
      </c>
      <c r="U51" s="5" t="inlineStr">
        <is>
          <t>full_v1</t>
        </is>
      </c>
      <c r="V51" s="5" t="inlineStr">
        <is>
          <t>stakeholder-engagement-and-strategic-innovation:0009:q0</t>
        </is>
      </c>
    </row>
    <row r="52">
      <c r="A52" s="5" t="n">
        <v>51</v>
      </c>
      <c r="B52" s="5" t="b">
        <v>0</v>
      </c>
      <c r="C52" s="6" t="n"/>
      <c r="D52" s="6" t="n"/>
      <c r="E52" s="5" t="n"/>
      <c r="F52" s="5" t="inlineStr">
        <is>
          <t>Which image-licensing company banned the upload and sale of illustrations generated from AI art tools?</t>
        </is>
      </c>
      <c r="G52" s="5" t="inlineStr">
        <is>
          <t>Getty Images banned the "upload and sale of illustrations generated from AI art tools." Some organizations have banned AI-generated images for the time being because the problems remain unresolved.</t>
        </is>
      </c>
      <c r="H52" s="5" t="inlineStr">
        <is>
          <t>Today, these problems remain unresolved and some organizations have even banned the use of AI-generated images for the time being. For example, Getty Images has banned the "upload and sale of illustrations generated from AI art tools."</t>
        </is>
      </c>
      <c r="I52" s="5" t="inlineStr">
        <is>
          <t>Building Responsible AI Algorithms, p. 152</t>
        </is>
      </c>
      <c r="J52" s="5" t="b">
        <v>1</v>
      </c>
      <c r="K52" s="5" t="b">
        <v>0</v>
      </c>
      <c r="L52" s="5" t="inlineStr"/>
      <c r="M52" s="5" t="inlineStr">
        <is>
          <t>factual</t>
        </is>
      </c>
      <c r="N52" s="5" t="inlineStr">
        <is>
          <t>easy</t>
        </is>
      </c>
      <c r="O52" s="5" t="inlineStr">
        <is>
          <t>governance</t>
        </is>
      </c>
      <c r="P52" s="5" t="n">
        <v>5</v>
      </c>
      <c r="Q52" s="5" t="n">
        <v>3</v>
      </c>
      <c r="R52" s="5" t="inlineStr">
        <is>
          <t>Both statements, Getty Images' ban and organizations banning AI images because the problems remain unresolved, are stated directly in the evidence. | The question is self-contained and names its subject explicitly. | value: It is a narrow factual example of an institutional response to AI-generated imagery.</t>
        </is>
      </c>
      <c r="S52" s="5" t="inlineStr">
        <is>
          <t>Which stock image organization prohibited the upload and sale of AI-art-tool illustrations?</t>
        </is>
      </c>
      <c r="T52" s="5" t="inlineStr">
        <is>
          <t>Which stock image-licensing firm prohibited contributors from uploading and selling illustrations produced by AI art generators?</t>
        </is>
      </c>
      <c r="U52" s="5" t="inlineStr">
        <is>
          <t>full_v1</t>
        </is>
      </c>
      <c r="V52" s="5" t="inlineStr">
        <is>
          <t>building-responsible-ai:0069:q1</t>
        </is>
      </c>
    </row>
    <row r="53">
      <c r="A53" s="5" t="n">
        <v>52</v>
      </c>
      <c r="B53" s="5" t="b">
        <v>1</v>
      </c>
      <c r="C53" s="6" t="n"/>
      <c r="D53" s="6" t="n"/>
      <c r="E53" s="5" t="n"/>
      <c r="F53" s="5" t="inlineStr">
        <is>
          <t>In a survey of in-service educators about using GenAI tools like ChatGPT in education, an overall mean score of 3.14 was found. What did this score indicate about their view?</t>
        </is>
      </c>
      <c r="G53" s="5" t="inlineStr">
        <is>
          <t>The overall mean score of 3.14 indicates that in-service educators hold a moderate view of using GenAI tools like ChatGPT in education. They are not entirely against such tools but not fully on board either, showing a balanced perspective that combines interest with some degree of caution.</t>
        </is>
      </c>
      <c r="H53" s="5" t="inlineStr">
        <is>
          <t>Based on the Table 2, the overall mean score of 3.14 (M = 3.14) indicates that in-service educators hold a moderate view of using GenAI tools like ChatGPT in education. This means that while they're not entirely against the use of such tools, they're also not fully on board, showing a balanced perspective that combines interest with some degree of caution.</t>
        </is>
      </c>
      <c r="I53" s="5" t="inlineStr">
        <is>
          <t>Innovative Educational Assessment with Generative AI: Opportunities, Challenges, and Practical Case Studies, p. 240</t>
        </is>
      </c>
      <c r="J53" s="5" t="b">
        <v>1</v>
      </c>
      <c r="K53" s="5" t="b">
        <v>1</v>
      </c>
      <c r="L53" s="5" t="inlineStr"/>
      <c r="M53" s="5" t="inlineStr">
        <is>
          <t>factual</t>
        </is>
      </c>
      <c r="N53" s="5" t="inlineStr">
        <is>
          <t>easy</t>
        </is>
      </c>
      <c r="O53" s="5" t="inlineStr">
        <is>
          <t>faculty_readiness</t>
        </is>
      </c>
      <c r="P53" s="5" t="n">
        <v>5</v>
      </c>
      <c r="Q53" s="5" t="n">
        <v>3</v>
      </c>
      <c r="R53" s="5" t="inlineStr">
        <is>
          <t>Every statement in the answer is directly stated in the evidence, with only minimal rewording. | The question describes the survey by its content and refers to no unseen source. The mean score is given as context. | value: This is a narrow finding about educator attitudes toward GenAI, but it is relevant to the domain.</t>
        </is>
      </c>
      <c r="S53" s="5" t="inlineStr">
        <is>
          <t>Among in-service educators surveyed on GenAI tools such as ChatGPT in education, what did an overall mean score of 3.14 indicate about their view?</t>
        </is>
      </c>
      <c r="T53" s="5" t="inlineStr">
        <is>
          <t>What view of using GenAI tools like ChatGPT in education did an overall mean score of 3.14 indicate among surveyed in-service educators?</t>
        </is>
      </c>
      <c r="U53" s="5" t="inlineStr">
        <is>
          <t>full_v1</t>
        </is>
      </c>
      <c r="V53" s="5" t="inlineStr">
        <is>
          <t>innovative-educational:0123:q2</t>
        </is>
      </c>
    </row>
    <row r="54">
      <c r="A54" s="5" t="n">
        <v>53</v>
      </c>
      <c r="B54" s="5" t="b">
        <v>0</v>
      </c>
      <c r="C54" s="6" t="n"/>
      <c r="D54" s="6" t="n"/>
      <c r="E54" s="5" t="n"/>
      <c r="F54" s="5" t="inlineStr">
        <is>
          <t>A university wants to encourage ChatGPT adoption by promoting its learning support features. What does SHAP interaction analysis of future ChatGPT use indicate about when learning support matters most?</t>
        </is>
      </c>
      <c r="G54" s="5" t="inlineStr">
        <is>
          <t>Strong interactions were observed between Learning Support &amp; Accessibility and both Reliability &amp; Accuracy Concerns and Overall Satisfaction. This suggests that the effect of learning support is conditional on perceived reliability and user experience.</t>
        </is>
      </c>
      <c r="H54" s="5" t="inlineStr">
        <is>
          <t>Notably, strong interactions are observed between Learning Support &amp; Accessibility and Reliability &amp; Accuracy Concerns, as well as with Overall Satisfaction, suggesting that the effect of learning support is conditional on perceived reliability and user experience.</t>
        </is>
      </c>
      <c r="I54" s="5" t="inlineStr">
        <is>
          <t>An exploratory machine learning approach to understanding determinants of future ChatGPT use in higher education, p. 19</t>
        </is>
      </c>
      <c r="J54" s="5" t="b">
        <v>1</v>
      </c>
      <c r="K54" s="5" t="b">
        <v>0</v>
      </c>
      <c r="L54" s="5" t="inlineStr"/>
      <c r="M54" s="5" t="inlineStr">
        <is>
          <t>application</t>
        </is>
      </c>
      <c r="N54" s="5" t="inlineStr">
        <is>
          <t>hard</t>
        </is>
      </c>
      <c r="O54" s="5" t="inlineStr">
        <is>
          <t>teaching_learning</t>
        </is>
      </c>
      <c r="P54" s="5" t="n">
        <v>5</v>
      </c>
      <c r="Q54" s="5" t="n">
        <v>4</v>
      </c>
      <c r="R54" s="5" t="inlineStr">
        <is>
          <t>Both statements are taken directly from the evidence, including the interactions and the conclusion that the effect is conditional on perceived reliability and user experience. | The question describes the analysis by its content (SHAP interaction analysis of future ChatGPT use) and does not depend on unseen context. | value: It is a useful, somewhat specific finding about what drives student AI adoption in higher education.</t>
        </is>
      </c>
      <c r="S54" s="5" t="inlineStr">
        <is>
          <t>If a university promotes ChatGPT's learning support features to boost adoption, what do SHAP interaction findings suggest about the conditions under which that support has an effect?</t>
        </is>
      </c>
      <c r="T54" s="5" t="inlineStr">
        <is>
          <t>If a university hopes to boost ChatGPT uptake by highlighting how it supports learning, what do SHAP interaction results for predicting future ChatGPT use reveal about the circumstances in which learning support is most influential?</t>
        </is>
      </c>
      <c r="U54" s="5" t="inlineStr">
        <is>
          <t>full_v1</t>
        </is>
      </c>
      <c r="V54" s="5" t="inlineStr">
        <is>
          <t>an-exploratory-machine-learning-approach-to:0031:q2</t>
        </is>
      </c>
    </row>
    <row r="55">
      <c r="A55" s="5" t="n">
        <v>54</v>
      </c>
      <c r="B55" s="5" t="b">
        <v>1</v>
      </c>
      <c r="C55" s="6" t="n"/>
      <c r="D55" s="6" t="n"/>
      <c r="E55" s="5" t="n"/>
      <c r="F55" s="5" t="inlineStr">
        <is>
          <t>In a chemical engineering survey on generative AI in education, what percentages of students and of staff expressed concern?</t>
        </is>
      </c>
      <c r="G55" s="5" t="inlineStr">
        <is>
          <t>Overall, 45.2% of students expressed concern, compared with 100% of staff.</t>
        </is>
      </c>
      <c r="H55" s="5" t="inlineStr">
        <is>
          <t>Overall, 45.2 % of students expressed concern (Fig. 1a), compared to 100 % of staff (Fig. 1b).</t>
        </is>
      </c>
      <c r="I55" s="5" t="inlineStr">
        <is>
          <t>Integrating generative artificial intelligence into chemical engineering education: Staff and student perspectives, p. 4</t>
        </is>
      </c>
      <c r="J55" s="5" t="b">
        <v>1</v>
      </c>
      <c r="K55" s="5" t="b">
        <v>0</v>
      </c>
      <c r="L55" s="5" t="inlineStr"/>
      <c r="M55" s="5" t="inlineStr">
        <is>
          <t>factual</t>
        </is>
      </c>
      <c r="N55" s="5" t="inlineStr">
        <is>
          <t>easy</t>
        </is>
      </c>
      <c r="O55" s="5" t="inlineStr">
        <is>
          <t>general</t>
        </is>
      </c>
      <c r="P55" s="5" t="n">
        <v>5</v>
      </c>
      <c r="Q55" s="5" t="n">
        <v>3</v>
      </c>
      <c r="R55" s="5" t="inlineStr">
        <is>
          <t>The answer directly restates the evidence figures of 45.2% of students and 100% of staff. | It names the survey by its content (chemical engineering, generative AI in education) and has no source-presupposing wording, though 'a chemical engineering survey' is somewhat vague. | value: A specific attitudinal finding about generative AI in education; acceptable but narrow.</t>
        </is>
      </c>
      <c r="S55" s="5" t="inlineStr">
        <is>
          <t>What share of students versus staff voiced concern about generative AI in education in a chemical engineering survey?</t>
        </is>
      </c>
      <c r="T55" s="5" t="inlineStr">
        <is>
          <t>In a survey of chemical engineering students and staff, how common was concern about generative AI in education in each group?</t>
        </is>
      </c>
      <c r="U55" s="5" t="inlineStr">
        <is>
          <t>full_v1</t>
        </is>
      </c>
      <c r="V55" s="5" t="inlineStr">
        <is>
          <t>integrating-generative-artificial-intelligence:0008:q1</t>
        </is>
      </c>
    </row>
    <row r="56">
      <c r="A56" s="5" t="n">
        <v>55</v>
      </c>
      <c r="B56" s="5" t="b">
        <v>0</v>
      </c>
      <c r="C56" s="6" t="n"/>
      <c r="D56" s="6" t="n"/>
      <c r="E56" s="5" t="n"/>
      <c r="F56" s="5" t="inlineStr">
        <is>
          <t>What ethical and social design considerations must user-centered technologies for explainable AI, such as natural language processing and virtual or augmented reality, take into account?</t>
        </is>
      </c>
      <c r="G56" s="5" t="inlineStr">
        <is>
          <t>Natural language processing technologies must be designed to account for potential biases and cultural differences in language use. Virtual and augmented reality experiences must be designed to avoid causing discomfort or disorientation for users.</t>
        </is>
      </c>
      <c r="H56" s="5" t="inlineStr">
        <is>
          <t>For instance, natural language processing technologies must be designed to account for potential biases and cultural differences in language use. Similarly, virtual and augmented reality experiences must be designed to avoid causing discomfort or disorientation for users.</t>
        </is>
      </c>
      <c r="I56" s="5" t="inlineStr">
        <is>
          <t>Towards Ethical and Socially Responsible Explainable AI, p. 135</t>
        </is>
      </c>
      <c r="J56" s="5" t="b">
        <v>1</v>
      </c>
      <c r="K56" s="5" t="b">
        <v>0</v>
      </c>
      <c r="L56" s="5" t="inlineStr"/>
      <c r="M56" s="5" t="inlineStr">
        <is>
          <t>definition</t>
        </is>
      </c>
      <c r="N56" s="5" t="inlineStr">
        <is>
          <t>medium</t>
        </is>
      </c>
      <c r="O56" s="5" t="inlineStr">
        <is>
          <t>equity_accessibility</t>
        </is>
      </c>
      <c r="P56" s="5" t="n">
        <v>5</v>
      </c>
      <c r="Q56" s="5" t="n">
        <v>3</v>
      </c>
      <c r="R56" s="5" t="inlineStr">
        <is>
          <t>Both statements, on NLP biases and cultural differences and on VR/AR discomfort or disorientation, are stated directly in the evidence. | The question names the technologies and the topic explicitly and does not refer to any unseen source. | value: These are reasonable but fairly narrow design considerations for XAI interfaces.</t>
        </is>
      </c>
      <c r="S56" s="5" t="inlineStr">
        <is>
          <t>What must natural language processing and virtual or augmented reality be designed to account for or avoid when used for explainable AI?</t>
        </is>
      </c>
      <c r="T56" s="5" t="inlineStr">
        <is>
          <t>When designing user-centered technologies for explainable AI, such as natural language processing and virtual or augmented reality, which ethical and social considerations need to be taken into account?</t>
        </is>
      </c>
      <c r="U56" s="5" t="inlineStr">
        <is>
          <t>full_v1</t>
        </is>
      </c>
      <c r="V56" s="5" t="inlineStr">
        <is>
          <t>towards-ethical:0070:q3</t>
        </is>
      </c>
    </row>
    <row r="57">
      <c r="A57" s="5" t="n">
        <v>56</v>
      </c>
      <c r="B57" s="5" t="b">
        <v>0</v>
      </c>
      <c r="C57" s="6" t="n"/>
      <c r="D57" s="6" t="n"/>
      <c r="E57" s="5" t="n"/>
      <c r="F57" s="5" t="inlineStr">
        <is>
          <t>Why can AI not be relied on alone in assessment, and what must responsible integration of AI involve?</t>
        </is>
      </c>
      <c r="G57" s="5" t="inlineStr">
        <is>
          <t>AI can augment assessment efficiency but cannot replace human judgment. Responsible integration demands transparent, ethical, and pedagogically aligned approaches.</t>
        </is>
      </c>
      <c r="H57" s="5" t="inlineStr">
        <is>
          <t>Collectively, these findings underscore that AI can augment assessment efficiency but cannot replace human judgment; responsible integration demands transparent, ethical, and pedagogically aligned approaches.</t>
        </is>
      </c>
      <c r="I57" s="5" t="inlineStr">
        <is>
          <t>Reliable but not rigorous: Evaluating ChatGPT's reliability, validity, and bias in automated academic grading, p. 2</t>
        </is>
      </c>
      <c r="J57" s="5" t="b">
        <v>1</v>
      </c>
      <c r="K57" s="5" t="b">
        <v>0</v>
      </c>
      <c r="L57" s="5" t="inlineStr"/>
      <c r="M57" s="5" t="inlineStr">
        <is>
          <t>explanation</t>
        </is>
      </c>
      <c r="N57" s="5" t="inlineStr">
        <is>
          <t>medium</t>
        </is>
      </c>
      <c r="O57" s="5" t="inlineStr">
        <is>
          <t>assessment</t>
        </is>
      </c>
      <c r="P57" s="5" t="n">
        <v>5</v>
      </c>
      <c r="Q57" s="5" t="n">
        <v>3</v>
      </c>
      <c r="R57" s="5" t="inlineStr">
        <is>
          <t>The answer restates the evidence nearly verbatim: AI augments efficiency but cannot replace human judgment, and integration demands transparent, ethical, pedagogically aligned approaches. | The question is self-contained, with no references to a source or undefined terms. | value: A relevant principle, but the 'why' is not really explained, only that AI cannot replace human judgment.</t>
        </is>
      </c>
      <c r="S57" s="5" t="inlineStr">
        <is>
          <t>What limits AI's role in assessment, and what does responsible integration demand?</t>
        </is>
      </c>
      <c r="T57" s="5" t="inlineStr">
        <is>
          <t>For assessment purposes, what makes it unwise to depend solely on AI, and what does integrating AI responsibly require?</t>
        </is>
      </c>
      <c r="U57" s="5" t="inlineStr">
        <is>
          <t>full_v1</t>
        </is>
      </c>
      <c r="V57" s="5" t="inlineStr">
        <is>
          <t>reliable-but-not-rigorous-evaluating-chatgpt-s:0003:q3</t>
        </is>
      </c>
    </row>
    <row r="58">
      <c r="A58" s="5" t="n">
        <v>57</v>
      </c>
      <c r="B58" s="5" t="b">
        <v>1</v>
      </c>
      <c r="C58" s="6" t="n"/>
      <c r="D58" s="6" t="n"/>
      <c r="E58" s="5" t="n"/>
      <c r="F58" s="5" t="inlineStr">
        <is>
          <t>A school leadership team preparing for generative AI adoption is worried about the school's readiness, teachers' AI competencies, and students' AI literacy and ethics. Based on a study of teachers' written reflections on generative AI in education, what strategies did teachers suggest to motivate integration?</t>
        </is>
      </c>
      <c r="G58" s="5" t="inlineStr">
        <is>
          <t>The study identified three major challenges to generative AI integration: school readiness, teachers' AI competencies, and students' AI literacy and ethics. To motivate integration, teachers suggested professional development, clear guidelines, and access to AI software and technical support.</t>
        </is>
      </c>
      <c r="H58" s="5" t="inlineStr">
        <is>
          <t>However, three major challenges are also identified: school's readiness, teachers' AI competencies, and students' AI literacy and ethics. … Teachers suggest several strategies to motivate GenAI integration, including professional development, clear guidelines, and access to AI software and technical support.</t>
        </is>
      </c>
      <c r="I58" s="5" t="inlineStr">
        <is>
          <t>Opportunities, challenges and school strategies for integrating generative AI in education, p. 1</t>
        </is>
      </c>
      <c r="J58" s="5" t="b">
        <v>1</v>
      </c>
      <c r="K58" s="5" t="b">
        <v>1</v>
      </c>
      <c r="L58" s="5" t="inlineStr"/>
      <c r="M58" s="5" t="inlineStr">
        <is>
          <t>application</t>
        </is>
      </c>
      <c r="N58" s="5" t="inlineStr">
        <is>
          <t>hard</t>
        </is>
      </c>
      <c r="O58" s="5" t="inlineStr">
        <is>
          <t>leadership_strategy</t>
        </is>
      </c>
      <c r="P58" s="5" t="n">
        <v>5</v>
      </c>
      <c r="Q58" s="5" t="n">
        <v>4</v>
      </c>
      <c r="R58" s="5" t="inlineStr">
        <is>
          <t>Both the three challenges and the three suggested strategies are directly stated in the evidence. | The question identifies the study by its content (teachers' written reflections on generative AI) and contains no references to unseen context. | value: These are useful, practical strategies for generative AI integration that come from a specific study.</t>
        </is>
      </c>
      <c r="S58" s="5" t="inlineStr">
        <is>
          <t>A school's leaders are concerned about readiness, teachers' AI competencies, and students' AI literacy and ethics as they plan for generative AI. In a study of teachers' written reflections on generative AI, what strategies did teachers propose to motivate its integration?</t>
        </is>
      </c>
      <c r="T58" s="5" t="inlineStr">
        <is>
          <t>When a school team fears gaps in school readiness, teacher AI competencies, and student AI literacy and ethics, what strategies for motivating generative AI integration did teachers suggest in a study based on their written reflections?</t>
        </is>
      </c>
      <c r="U58" s="5" t="inlineStr">
        <is>
          <t>full_v1</t>
        </is>
      </c>
      <c r="V58" s="5" t="inlineStr">
        <is>
          <t>opportunities-challenges-and-school-strategies:0000:q0</t>
        </is>
      </c>
    </row>
    <row r="59">
      <c r="A59" s="5" t="n">
        <v>58</v>
      </c>
      <c r="B59" s="5" t="b">
        <v>0</v>
      </c>
      <c r="C59" s="6" t="n"/>
      <c r="D59" s="6" t="n"/>
      <c r="E59" s="5" t="n"/>
      <c r="F59" s="5" t="inlineStr">
        <is>
          <t>A university plans AI training for faculty and wants them to integrate AI responsibly and in a learner-focused way. Based on findings from an AI competence scale validation, what role do foundational AI knowledge and ethical awareness play?</t>
        </is>
      </c>
      <c r="G59" s="5" t="inlineStr">
        <is>
          <t>Foundational AI knowledge was positively linked to ethical competence, indicating that basic literacy in AI is essential for responsible and informed AI integration. Ethics of AI significantly influenced human-centred mindset, reinforcing the centrality of ethical awareness in guiding value-driven, learner-focused AI practices.</t>
        </is>
      </c>
      <c r="H59" s="5" t="inlineStr">
        <is>
          <t>Foundational AI knowledge was also positively linked to ethical competence, indicating that basic literacy in AI is essential for responsible and informed AI integration. … Finally, EAI significantly influenced HCM, reinforcing the centrality of ethical awareness in guiding value-driven, learner-focused AI practices.</t>
        </is>
      </c>
      <c r="I59" s="5" t="inlineStr">
        <is>
          <t>AI and Security in China’s Higher Education, p. 116</t>
        </is>
      </c>
      <c r="J59" s="5" t="b">
        <v>1</v>
      </c>
      <c r="K59" s="5" t="b">
        <v>0</v>
      </c>
      <c r="L59" s="5" t="inlineStr"/>
      <c r="M59" s="5" t="inlineStr">
        <is>
          <t>application</t>
        </is>
      </c>
      <c r="N59" s="5" t="inlineStr">
        <is>
          <t>hard</t>
        </is>
      </c>
      <c r="O59" s="5" t="inlineStr">
        <is>
          <t>faculty_readiness</t>
        </is>
      </c>
      <c r="P59" s="5" t="n">
        <v>4</v>
      </c>
      <c r="Q59" s="5" t="n">
        <v>4</v>
      </c>
      <c r="R59" s="5" t="inlineStr">
        <is>
          <t>The answer closely restates the evidence. Its only addition is expanding the acronyms EAI and HCM to 'Ethics of AI' and 'human-centred mindset', which the quoted evidence does not spell out. | The question sets up a self-contained scenario and identifies the study by its content (an AI competence scale validation), so a reader without the source can follow what is being asked. | value: It gives useful findings linking AI literacy and ethics to responsible, learner-centred faculty AI practice.</t>
        </is>
      </c>
      <c r="S59" s="5" t="inlineStr">
        <is>
          <t>If a university wants faculty to use AI responsibly and with a learner-focused approach, what do scale validation findings say about foundational AI knowledge and ethical awareness?</t>
        </is>
      </c>
      <c r="T59" s="5" t="inlineStr">
        <is>
          <t>A university is planning AI professional development so that faculty can use AI responsibly and with a focus on learners. What do the findings from the validation of an AI competence scale say about the part played by foundational AI knowledge and ethical awareness?</t>
        </is>
      </c>
      <c r="U59" s="5" t="inlineStr">
        <is>
          <t>full_v1</t>
        </is>
      </c>
      <c r="V59" s="5" t="inlineStr">
        <is>
          <t>ai-and-security-in-china-s-higher-education:0068:q2</t>
        </is>
      </c>
    </row>
    <row r="60">
      <c r="A60" s="5" t="n">
        <v>59</v>
      </c>
      <c r="B60" s="5" t="b">
        <v>0</v>
      </c>
      <c r="C60" s="6" t="n"/>
      <c r="D60" s="6" t="n"/>
      <c r="E60" s="5" t="n"/>
      <c r="F60" s="5" t="inlineStr">
        <is>
          <t>What did many university educators report feeling about keeping pace with rapidly evolving AI tools, in a study on educators' AI literacy?</t>
        </is>
      </c>
      <c r="G60" s="5" t="inlineStr">
        <is>
          <t>Many educators described anxiety, uncertainty, and discomfort in keeping pace with rapid tool evolution. This underscored the centrality of emotional regulation within AI literacy.</t>
        </is>
      </c>
      <c r="H60" s="5" t="inlineStr">
        <is>
          <t>Many educators described anxiety, uncertainty, and discomfort in keeping pace with rapid tool evolution, underscoring the centrality of emotional regulation within AI literacy (Černý, 2024).</t>
        </is>
      </c>
      <c r="I60" s="5" t="inlineStr">
        <is>
          <t>AI and Security in China’s Higher Education, p. 104</t>
        </is>
      </c>
      <c r="J60" s="5" t="b">
        <v>1</v>
      </c>
      <c r="K60" s="5" t="b">
        <v>0</v>
      </c>
      <c r="L60" s="5" t="inlineStr"/>
      <c r="M60" s="5" t="inlineStr">
        <is>
          <t>factual</t>
        </is>
      </c>
      <c r="N60" s="5" t="inlineStr">
        <is>
          <t>easy</t>
        </is>
      </c>
      <c r="O60" s="5" t="inlineStr">
        <is>
          <t>faculty_readiness</t>
        </is>
      </c>
      <c r="P60" s="5" t="n">
        <v>5</v>
      </c>
      <c r="Q60" s="5" t="n">
        <v>4</v>
      </c>
      <c r="R60" s="5" t="inlineStr">
        <is>
          <t>Both statements are taken directly from the evidence: the anxiety, uncertainty and discomfort, and the point about emotional regulation being central. | The question identifies its subject by content (a study on educators' AI literacy) and does not rely on any unseen context. | value: This is a useful finding about the affective side of educator AI literacy.</t>
        </is>
      </c>
      <c r="S60" s="5" t="inlineStr">
        <is>
          <t>In a study of university educators' AI literacy, what feelings did many educators describe about keeping up with fast-changing AI tools?</t>
        </is>
      </c>
      <c r="T60" s="5" t="inlineStr">
        <is>
          <t>In research on educators' AI literacy, how did many university educators say they felt about staying up to date with fast-changing AI tools?</t>
        </is>
      </c>
      <c r="U60" s="5" t="inlineStr">
        <is>
          <t>full_v1</t>
        </is>
      </c>
      <c r="V60" s="5" t="inlineStr">
        <is>
          <t>ai-and-security-in-china-s-higher-education:0057:q0</t>
        </is>
      </c>
    </row>
    <row r="61">
      <c r="A61" s="5" t="n">
        <v>60</v>
      </c>
      <c r="B61" s="5" t="b">
        <v>0</v>
      </c>
      <c r="C61" s="6" t="n"/>
      <c r="D61" s="6" t="n"/>
      <c r="E61" s="5" t="n"/>
      <c r="F61" s="5" t="inlineStr">
        <is>
          <t>Why do concerns about quality and originality persist in Arab scientific publications even though the quantity of publications has grown?</t>
        </is>
      </c>
      <c r="G61" s="5" t="inlineStr">
        <is>
          <t>Many researchers face pressure to publish in high-impact journals. This leads to potential compromise in research rigor and originality.</t>
        </is>
      </c>
      <c r="H61" s="5" t="inlineStr">
        <is>
          <t>Despite the increase in quantity, concerns remain regarding the quality and impact of some Arab scientific publications. Many researchers face pressure to publish in high-impact journals, leading to potential compromise in research rigor and originality.</t>
        </is>
      </c>
      <c r="I61" s="5" t="inlineStr">
        <is>
          <t>Higher Education in the Arab World, p. 482</t>
        </is>
      </c>
      <c r="J61" s="5" t="b">
        <v>1</v>
      </c>
      <c r="K61" s="5" t="b">
        <v>1</v>
      </c>
      <c r="L61" s="5" t="inlineStr"/>
      <c r="M61" s="5" t="inlineStr">
        <is>
          <t>explanation</t>
        </is>
      </c>
      <c r="N61" s="5" t="inlineStr">
        <is>
          <t>easy</t>
        </is>
      </c>
      <c r="O61" s="5" t="inlineStr">
        <is>
          <t>general</t>
        </is>
      </c>
      <c r="P61" s="5" t="n">
        <v>4</v>
      </c>
      <c r="Q61" s="5" t="n">
        <v>3</v>
      </c>
      <c r="R61" s="5" t="inlineStr">
        <is>
          <t>The answer restates the evidence's point about publication pressure compromising rigor and originality. However, it frames this as the explicit reason concerns persist, whereas the evidence only places the two statements side by side. The evidence also speaks of quality and impact, not originality. | The question names a clear topic, Arab scientific publications, and refers to no unseen source or undefined terms. | value: Publication pressure and research integrity in Arab academia is relevant institutional context, but somewhat narrow.</t>
        </is>
      </c>
      <c r="S61" s="5" t="inlineStr">
        <is>
          <t>What explains continuing worries about the quality and originality of Arab scientific publications despite their increasing numbers?</t>
        </is>
      </c>
      <c r="T61" s="5" t="inlineStr">
        <is>
          <t>Despite more Arab scientific publications being produced, why do quality and originality remain a concern?</t>
        </is>
      </c>
      <c r="U61" s="5" t="inlineStr">
        <is>
          <t>full_v1</t>
        </is>
      </c>
      <c r="V61" s="5" t="inlineStr">
        <is>
          <t>higher-education-in-arab:0268:q3</t>
        </is>
      </c>
    </row>
    <row r="62">
      <c r="A62" s="5" t="n">
        <v>61</v>
      </c>
      <c r="B62" s="5" t="b">
        <v>1</v>
      </c>
      <c r="C62" s="6" t="n"/>
      <c r="D62" s="6" t="n"/>
      <c r="E62" s="5" t="n"/>
      <c r="F62" s="5" t="inlineStr">
        <is>
          <t>What key challenges to AI adoption in Chinese higher education were identified from the perspective of academic administrators?</t>
        </is>
      </c>
      <c r="G62" s="5" t="inlineStr">
        <is>
          <t>The key challenges include limited digital literacy, financial constraints, and data privacy issues.</t>
        </is>
      </c>
      <c r="H62" s="5" t="inlineStr">
        <is>
          <t>Findings reveal that while AI adoption has primarily targeted administrative and student services, its broader potential extends to personalized learning, resource optimization, and campus management. Key challenges include limited digital literacy, financial constraints, and data privacy issues.</t>
        </is>
      </c>
      <c r="I62" s="5" t="inlineStr">
        <is>
          <t>AI and Security in China’s Higher Education, p. 79</t>
        </is>
      </c>
      <c r="J62" s="5" t="b">
        <v>1</v>
      </c>
      <c r="K62" s="5" t="b">
        <v>0</v>
      </c>
      <c r="L62" s="5" t="inlineStr"/>
      <c r="M62" s="5" t="inlineStr">
        <is>
          <t>factual</t>
        </is>
      </c>
      <c r="N62" s="5" t="inlineStr">
        <is>
          <t>easy</t>
        </is>
      </c>
      <c r="O62" s="5" t="inlineStr">
        <is>
          <t>general</t>
        </is>
      </c>
      <c r="P62" s="5" t="n">
        <v>5</v>
      </c>
      <c r="Q62" s="5" t="n">
        <v>4</v>
      </c>
      <c r="R62" s="5" t="inlineStr">
        <is>
          <t>The answer directly restates the three challenges listed in the evidence. | The question specifies the context (Chinese higher education, academic administrators) without referencing an unseen source, though 'were identified' mildly presupposes a study. | value: Identifies concrete barriers to AI adoption in higher education, useful though context-specific.</t>
        </is>
      </c>
      <c r="S62" s="5" t="inlineStr">
        <is>
          <t>Which main obstacles to adopting AI in Chinese universities did academic administrators' perspectives reveal?</t>
        </is>
      </c>
      <c r="T62" s="5" t="inlineStr">
        <is>
          <t>From academic administrators' viewpoint, what are the key challenges facing AI adoption in Chinese higher education?</t>
        </is>
      </c>
      <c r="U62" s="5" t="inlineStr">
        <is>
          <t>full_v1</t>
        </is>
      </c>
      <c r="V62" s="5" t="inlineStr">
        <is>
          <t>ai-and-security-in-china-s-higher-education:0044:q0</t>
        </is>
      </c>
    </row>
    <row r="63">
      <c r="A63" s="5" t="n">
        <v>62</v>
      </c>
      <c r="B63" s="5" t="b">
        <v>0</v>
      </c>
      <c r="C63" s="6" t="n"/>
      <c r="D63" s="6" t="n"/>
      <c r="E63" s="5" t="n"/>
      <c r="F63" s="5" t="inlineStr">
        <is>
          <t>Which stakeholders need to collaborate to guide the responsible and effective deployment of AI in higher education?</t>
        </is>
      </c>
      <c r="G63" s="5" t="inlineStr">
        <is>
          <t>A collaborative effort among all stakeholders, including educators, researchers, and policymakers, will be critical to guiding responsible and effective deployment of AI technologies in higher education.</t>
        </is>
      </c>
      <c r="H63" s="5" t="inlineStr">
        <is>
          <t>To guide the responsible and effective deployment of AI technologies in the higher education setting, a collaborative effort among all stakeholders (including educators, researchers, and policymakers) will be critical to navigating the complexities of the current higher education landscape and identifying potential paths forward.</t>
        </is>
      </c>
      <c r="I63" s="5" t="inlineStr">
        <is>
          <t>Innovative Educational Assessment with Generative AI: Opportunities, Challenges, and Practical Case Studies, p. 140</t>
        </is>
      </c>
      <c r="J63" s="5" t="b">
        <v>1</v>
      </c>
      <c r="K63" s="5" t="b">
        <v>0</v>
      </c>
      <c r="L63" s="5" t="inlineStr"/>
      <c r="M63" s="5" t="inlineStr">
        <is>
          <t>factual</t>
        </is>
      </c>
      <c r="N63" s="5" t="inlineStr">
        <is>
          <t>easy</t>
        </is>
      </c>
      <c r="O63" s="5" t="inlineStr">
        <is>
          <t>governance</t>
        </is>
      </c>
      <c r="P63" s="5" t="n">
        <v>5</v>
      </c>
      <c r="Q63" s="5" t="n">
        <v>3</v>
      </c>
      <c r="R63" s="5" t="inlineStr">
        <is>
          <t>The answer directly restates the evidence: a collaborative effort among educators, researchers and policymakers is critical to responsible and effective AI deployment in higher education. | The question is self-contained and makes no reference to an unseen source. | value: It is relevant to the domain but makes a fairly generic claim about stakeholder collaboration.</t>
        </is>
      </c>
      <c r="S63" s="5" t="inlineStr">
        <is>
          <t>Who must work together to steer responsible and effective AI deployment in higher education?</t>
        </is>
      </c>
      <c r="T63" s="5" t="inlineStr">
        <is>
          <t>Who must work together to steer the responsible and effective use of AI in higher education?</t>
        </is>
      </c>
      <c r="U63" s="5" t="inlineStr">
        <is>
          <t>full_v1</t>
        </is>
      </c>
      <c r="V63" s="5" t="inlineStr">
        <is>
          <t>innovative-educational:0072:q2</t>
        </is>
      </c>
    </row>
    <row r="64">
      <c r="A64" s="5" t="n">
        <v>63</v>
      </c>
      <c r="B64" s="5" t="b">
        <v>0</v>
      </c>
      <c r="C64" s="6" t="n"/>
      <c r="D64" s="6" t="n"/>
      <c r="E64" s="5" t="n"/>
      <c r="F64" s="5" t="inlineStr">
        <is>
          <t>A university leader wants to introduce AI tools campus-wide and is weighing what adoption requires beyond the technology itself. What do analyses of public Reddit discussions about AI and work say successful adoption and adaptation depend on?</t>
        </is>
      </c>
      <c r="G64" s="5" t="inlineStr">
        <is>
          <t>Adapting to AI-driven change entails more than technological advancement; it also requires systemic support for workers, ethical safeguards, and evidence-based policymaking. Successful AI adoption depends not just on innovation, but also on communication, trust, and preparedness.</t>
        </is>
      </c>
      <c r="H64" s="5" t="inlineStr">
        <is>
          <t>The discussion reflects a growing recognition that adaptation to AI-driven change entails more than technological advancement-it also requires systemic support for workers, ethical safeguards, and evidence-based policymaking. … These findings emphasize that successful AI adoption depends not just on innovation, but also on communication, trust, and preparedness.</t>
        </is>
      </c>
      <c r="I64" s="5" t="inlineStr">
        <is>
          <t>AI and Digital Transformation: Opportunities, Challenges, and Emerging Threats in Technology, Business, and Security, p. 366</t>
        </is>
      </c>
      <c r="J64" s="5" t="b">
        <v>1</v>
      </c>
      <c r="K64" s="5" t="b">
        <v>0</v>
      </c>
      <c r="L64" s="5" t="inlineStr"/>
      <c r="M64" s="5" t="inlineStr">
        <is>
          <t>application</t>
        </is>
      </c>
      <c r="N64" s="5" t="inlineStr">
        <is>
          <t>hard</t>
        </is>
      </c>
      <c r="O64" s="5" t="inlineStr">
        <is>
          <t>leadership_strategy</t>
        </is>
      </c>
      <c r="P64" s="5" t="n">
        <v>5</v>
      </c>
      <c r="Q64" s="5" t="n">
        <v>4</v>
      </c>
      <c r="R64" s="5" t="inlineStr">
        <is>
          <t>Both sentences of the answer restate the evidence nearly verbatim. Nothing is added beyond what the source says. | The question names its source by content (analyses of public Reddit discussions about AI and work). It does not rely on any unseen context. | value: It gives useful knowledge about the non-technical conditions for AI adoption, though the university framing is only loosely tied to a source about AI and work.</t>
        </is>
      </c>
      <c r="S64" s="5" t="inlineStr">
        <is>
          <t>A university president is planning a campus-wide rollout of AI tools and asks what, besides technological progress, is needed. What do analyses of Reddit discussions on AI and work say about this?</t>
        </is>
      </c>
      <c r="T64" s="5" t="inlineStr">
        <is>
          <t>When a university introduces AI tools institution-wide, what do Reddit-based findings on AI and the workforce say adoption and adaptation require in addition to innovation?</t>
        </is>
      </c>
      <c r="U64" s="5" t="inlineStr">
        <is>
          <t>full_v1</t>
        </is>
      </c>
      <c r="V64" s="5" t="inlineStr">
        <is>
          <t>ai-and-digital-transformation:0220:q0</t>
        </is>
      </c>
    </row>
    <row r="65">
      <c r="A65" s="5" t="n">
        <v>64</v>
      </c>
      <c r="B65" s="5" t="b">
        <v>0</v>
      </c>
      <c r="C65" s="6" t="n"/>
      <c r="D65" s="6" t="n"/>
      <c r="E65" s="5" t="n"/>
      <c r="F65" s="5" t="inlineStr">
        <is>
          <t>Why is conducting regular audits of LLM algorithms considered essential for identifying and rectifying bias in their responses?</t>
        </is>
      </c>
      <c r="G65" s="5" t="inlineStr">
        <is>
          <t>Such evaluations help enhance trust and accountability in AI systems, as Meyer et al. (2023) emphasize.</t>
        </is>
      </c>
      <c r="H65" s="5" t="inlineStr">
        <is>
          <t>Conducting regular audits of LLM algorithms to identify and rectify biases in their responses is essential. Meyer et al. (2023) emphasize that such evaluations help enhance trust and accountability in AI systems.</t>
        </is>
      </c>
      <c r="I65" s="5" t="inlineStr">
        <is>
          <t>AI Roles and Responsibilities in Education, p. 428</t>
        </is>
      </c>
      <c r="J65" s="5" t="b">
        <v>1</v>
      </c>
      <c r="K65" s="5" t="b">
        <v>0</v>
      </c>
      <c r="L65" s="5" t="inlineStr"/>
      <c r="M65" s="5" t="inlineStr">
        <is>
          <t>factual</t>
        </is>
      </c>
      <c r="N65" s="5" t="inlineStr">
        <is>
          <t>easy</t>
        </is>
      </c>
      <c r="O65" s="5" t="inlineStr">
        <is>
          <t>monitoring_improvement</t>
        </is>
      </c>
      <c r="P65" s="5" t="n">
        <v>5</v>
      </c>
      <c r="Q65" s="5" t="n">
        <v>4</v>
      </c>
      <c r="R65" s="5" t="inlineStr">
        <is>
          <t>The answer restates the evidence directly: audits enhance trust and accountability, attributed to Meyer et al. (2023). | The question is self-contained. LLM is a widely recognized acronym in this domain, and no source context is presupposed. | value: Bias auditing of LLMs and its link to trust and accountability is useful responsible-AI knowledge.</t>
        </is>
      </c>
      <c r="S65" s="5" t="inlineStr">
        <is>
          <t>What benefit makes regular audits of LLM algorithms essential for finding and correcting biased responses?</t>
        </is>
      </c>
      <c r="T65" s="5" t="inlineStr">
        <is>
          <t>Why are regular audits of LLM algorithms for biased responses seen as essential?</t>
        </is>
      </c>
      <c r="U65" s="5" t="inlineStr">
        <is>
          <t>full_v1</t>
        </is>
      </c>
      <c r="V65" s="5" t="inlineStr">
        <is>
          <t>ai-roles:0253:q2</t>
        </is>
      </c>
    </row>
    <row r="66">
      <c r="A66" s="5" t="n">
        <v>65</v>
      </c>
      <c r="B66" s="5" t="b">
        <v>0</v>
      </c>
      <c r="C66" s="6" t="n"/>
      <c r="D66" s="6" t="n"/>
      <c r="E66" s="5" t="n"/>
      <c r="F66" s="5" t="inlineStr">
        <is>
          <t>Under what condition does the AI-creativity game model predict a stable equilibrium that satisfies all players?</t>
        </is>
      </c>
      <c r="G66" s="5" t="inlineStr">
        <is>
          <t>The model predicts that a stable equilibrium satisfying all players emerges only when education acts as a mediator with balanced priorities and feedback from all agents. Passively following industry or prioritising creativity independent of market demands does not produce it.</t>
        </is>
      </c>
      <c r="H66" s="5" t="inlineStr">
        <is>
          <t>To test our central hypothesis, we examine scenarios where education takes different roles: passively following industry, prioritising creativity independent of market demands, or acting as a mediator with balanced priorities and feedback from all agents. The model predicts that only when education acts as a mediator will a stable equilibrium emerge that satisfies all players.</t>
        </is>
      </c>
      <c r="I66" s="5" t="inlineStr">
        <is>
          <t>Tackling the AI-Creativity paradox: How educational innovation and knowledge unlocks positive-sum dynamics?, p. 4</t>
        </is>
      </c>
      <c r="J66" s="5" t="b">
        <v>1</v>
      </c>
      <c r="K66" s="5" t="b">
        <v>0</v>
      </c>
      <c r="L66" s="5" t="inlineStr"/>
      <c r="M66" s="5" t="inlineStr">
        <is>
          <t>factual</t>
        </is>
      </c>
      <c r="N66" s="5" t="inlineStr">
        <is>
          <t>easy</t>
        </is>
      </c>
      <c r="O66" s="5" t="inlineStr">
        <is>
          <t>leadership_strategy</t>
        </is>
      </c>
      <c r="P66" s="5" t="n">
        <v>4</v>
      </c>
      <c r="Q66" s="5" t="n">
        <v>4</v>
      </c>
      <c r="R66" s="5" t="inlineStr">
        <is>
          <t>The answer accurately restates the evidence that only a mediating role with balanced priorities and feedback from all agents yields the equilibrium. The negative claim about the other two roles is a direct implication of 'only when'. | The question identifies the AI-creativity game model by its content and does not refer to an unseen source. | value: It is a useful finding about education's mediating role between AI, industry and creativity.</t>
        </is>
      </c>
      <c r="S66" s="5" t="inlineStr">
        <is>
          <t>What role must education play for the AI-creativity game model to predict a stable equilibrium satisfying all players?</t>
        </is>
      </c>
      <c r="T66" s="5" t="inlineStr">
        <is>
          <t>What must hold for the AI-creativity game model to forecast a stable equilibrium in which every player is satisfied?</t>
        </is>
      </c>
      <c r="U66" s="5" t="inlineStr">
        <is>
          <t>full_v1</t>
        </is>
      </c>
      <c r="V66" s="5" t="inlineStr">
        <is>
          <t>tackling-the-ai-creativity-paradox:0004:q4</t>
        </is>
      </c>
    </row>
    <row r="67">
      <c r="A67" s="5" t="n">
        <v>66</v>
      </c>
      <c r="B67" s="5" t="b">
        <v>0</v>
      </c>
      <c r="C67" s="6" t="n"/>
      <c r="D67" s="6" t="n"/>
      <c r="E67" s="5" t="n"/>
      <c r="F67" s="5" t="inlineStr">
        <is>
          <t>How can IBM's Watson assist researchers during literature reviews?</t>
        </is>
      </c>
      <c r="G67" s="5" t="inlineStr">
        <is>
          <t>AI tools like IBM's Watson have been employed in research projects to assist with literature reviews by analyzing existing studies to provide summaries and suggest relevant publications. This simplifies the initial stages of research and allows scholars to focus more on critical analysis and hypothesis testing.</t>
        </is>
      </c>
      <c r="H67" s="5" t="inlineStr">
        <is>
          <t>Moreover, AI tools like IBM's Watson have been employed in research projects to assist with literature reviews and analyze existing studies to provide summaries and suggest relevant publications. This simplifies the initial stages of research and allows scholars to focus more on critical analysis and hypothesis testing.</t>
        </is>
      </c>
      <c r="I67" s="5" t="inlineStr">
        <is>
          <t>Higher Education in the Arab World, p. 61</t>
        </is>
      </c>
      <c r="J67" s="5" t="b">
        <v>1</v>
      </c>
      <c r="K67" s="5" t="b">
        <v>0</v>
      </c>
      <c r="L67" s="5" t="inlineStr"/>
      <c r="M67" s="5" t="inlineStr">
        <is>
          <t>factual</t>
        </is>
      </c>
      <c r="N67" s="5" t="inlineStr">
        <is>
          <t>easy</t>
        </is>
      </c>
      <c r="O67" s="5" t="inlineStr">
        <is>
          <t>teaching_learning</t>
        </is>
      </c>
      <c r="P67" s="5" t="n">
        <v>5</v>
      </c>
      <c r="Q67" s="5" t="n">
        <v>4</v>
      </c>
      <c r="R67" s="5" t="inlineStr">
        <is>
          <t>Every statement in the answer is taken directly from the evidence, with only minimal rewording. | The question names IBM's Watson directly and does not refer to any unseen source or context. | value: Useful, if somewhat specific, example of AI supporting academic research.</t>
        </is>
      </c>
      <c r="S67" s="5" t="inlineStr">
        <is>
          <t>What role has IBM's Watson played in supporting literature reviews in research projects?</t>
        </is>
      </c>
      <c r="T67" s="5" t="inlineStr">
        <is>
          <t>In what ways can researchers use IBM's Watson to support them when they conduct literature reviews?</t>
        </is>
      </c>
      <c r="U67" s="5" t="inlineStr">
        <is>
          <t>full_v1</t>
        </is>
      </c>
      <c r="V67" s="5" t="inlineStr">
        <is>
          <t>higher-education-in-arab:0033:q3</t>
        </is>
      </c>
    </row>
    <row r="68">
      <c r="A68" s="5" t="n">
        <v>67</v>
      </c>
      <c r="B68" s="5" t="b">
        <v>0</v>
      </c>
      <c r="C68" s="6" t="n"/>
      <c r="D68" s="6" t="n"/>
      <c r="E68" s="5" t="n"/>
      <c r="F68" s="5" t="inlineStr">
        <is>
          <t>An accounting instructor wants students to improve their data analysis skills and business problem-solving creativity with generative AI. In an analysis of how generative AI familiarity and usage frequency affect accounting students' outcomes, which of the two matters more for these two outcomes?</t>
        </is>
      </c>
      <c r="G68" s="5" t="inlineStr">
        <is>
          <t>Research on accounting students' generative AI familiarity and usage frequency found that usage amounts of AI proved superior for data analysis capabilities (coefficient 0.5257, p&lt;0.01) and for business problem-solving creativity (coefficient 0.3055, p&lt;0.01). Familiarity with AI had its greatest impact on understanding accounting concepts (coefficient 0.5789, p&lt;0.01).</t>
        </is>
      </c>
      <c r="H68" s="5" t="inlineStr">
        <is>
          <t>Research reveals that the degrees of familiarity with AI demonstrate the greatest impact on understanding accounting concepts (coefficient = 0.5789 and p &lt; 0.01), yet usage amounts of AI prove superior for data analysis capabilities (coefficient = 0.5257 with p &lt; 0.01) and business problem-solving creativity (coefficient = 0.3055 and p &lt; 0.01).</t>
        </is>
      </c>
      <c r="I68" s="5" t="inlineStr">
        <is>
          <t>Artificial Intelligence and Accounting Education: Policy, Practice and Research, p. 83</t>
        </is>
      </c>
      <c r="J68" s="5" t="b">
        <v>1</v>
      </c>
      <c r="K68" s="5" t="b">
        <v>1</v>
      </c>
      <c r="L68" s="5" t="inlineStr"/>
      <c r="M68" s="5" t="inlineStr">
        <is>
          <t>application</t>
        </is>
      </c>
      <c r="N68" s="5" t="inlineStr">
        <is>
          <t>hard</t>
        </is>
      </c>
      <c r="O68" s="5" t="inlineStr">
        <is>
          <t>teaching_learning</t>
        </is>
      </c>
      <c r="P68" s="5" t="n">
        <v>5</v>
      </c>
      <c r="Q68" s="5" t="n">
        <v>4</v>
      </c>
      <c r="R68" s="5" t="inlineStr">
        <is>
          <t>All statements, including coefficients and p-values, are directly stated in the evidence. | The question describes the analysis by its content and needs no unseen source context. | value: This is a useful, specific finding on how AI usage relates to accounting students' learning outcomes.</t>
        </is>
      </c>
      <c r="S68" s="5" t="inlineStr">
        <is>
          <t>In research on accounting students' generative AI familiarity and usage frequency, which factor matters more for data analysis skills and creativity in business problem solving?</t>
        </is>
      </c>
      <c r="T68" s="5" t="inlineStr">
        <is>
          <t>An instructor aims to build accounting students' data analysis skills and business problem-solving creativity using generative AI. Is familiarity with AI or the amount of AI usage the stronger influence on these outcomes?</t>
        </is>
      </c>
      <c r="U68" s="5" t="inlineStr">
        <is>
          <t>full_v1</t>
        </is>
      </c>
      <c r="V68" s="5" t="inlineStr">
        <is>
          <t>artificial-intelligence-and-accounting-education:0046:q1</t>
        </is>
      </c>
    </row>
    <row r="69">
      <c r="A69" s="5" t="n">
        <v>68</v>
      </c>
      <c r="B69" s="5" t="b">
        <v>0</v>
      </c>
      <c r="C69" s="6" t="n"/>
      <c r="D69" s="6" t="n"/>
      <c r="E69" s="5" t="n"/>
      <c r="F69" s="5" t="inlineStr">
        <is>
          <t>How is explainable AI used to improve transportation and infrastructure systems, and what does it do for them?</t>
        </is>
      </c>
      <c r="G69" s="5" t="inlineStr">
        <is>
          <t>Explainable AI is being used at the forefront of the evolution of transportation and infrastructure systems, where it untangles complexities and enhances efficiency.</t>
        </is>
      </c>
      <c r="H69" s="5" t="inlineStr">
        <is>
          <t>At the forefront of this evolution is Explainable Artificial Intelligence (XAI), untangling complexities and enhancing efficiency in transportation and infrastructure systems [44, 45].</t>
        </is>
      </c>
      <c r="I69" s="5" t="inlineStr">
        <is>
          <t>Towards Ethical and Socially Responsible Explainable AI, p. 346</t>
        </is>
      </c>
      <c r="J69" s="5" t="b">
        <v>0</v>
      </c>
      <c r="K69" s="5" t="b">
        <v>0</v>
      </c>
      <c r="L69" s="5" t="inlineStr">
        <is>
          <t>low_value(2)</t>
        </is>
      </c>
      <c r="M69" s="5" t="inlineStr">
        <is>
          <t>explanation</t>
        </is>
      </c>
      <c r="N69" s="5" t="inlineStr">
        <is>
          <t>medium</t>
        </is>
      </c>
      <c r="O69" s="5" t="inlineStr">
        <is>
          <t>procurement_technology</t>
        </is>
      </c>
      <c r="P69" s="5" t="n">
        <v>4</v>
      </c>
      <c r="Q69" s="5" t="n">
        <v>2</v>
      </c>
      <c r="R69" s="5" t="inlineStr">
        <is>
          <t>The answer closely restates the evidence: XAI is at the forefront of the evolution of these systems, untangling complexities and enhancing efficiency. The 'is being used' framing is only trivial rewording. | The question names explainable AI and the transportation and infrastructure domain explicitly, with no reference to an unseen source. | value: The pair is tangential to responsible AI in higher education, and the answer is vague, giving no concrete account of how XAI is used.</t>
        </is>
      </c>
      <c r="S69" s="5" t="inlineStr">
        <is>
          <t>What role does explainable AI play in transportation and infrastructure systems?</t>
        </is>
      </c>
      <c r="T69" s="5" t="inlineStr">
        <is>
          <t>In what way is XAI applied in transportation and infrastructure, and what benefit does it bring?</t>
        </is>
      </c>
      <c r="U69" s="5" t="inlineStr">
        <is>
          <t>full_v1</t>
        </is>
      </c>
      <c r="V69" s="5" t="inlineStr">
        <is>
          <t>towards-ethical:0200:q1</t>
        </is>
      </c>
    </row>
    <row r="70">
      <c r="A70" s="5" t="n">
        <v>69</v>
      </c>
      <c r="B70" s="5" t="b">
        <v>0</v>
      </c>
      <c r="C70" s="6" t="n"/>
      <c r="D70" s="6" t="n"/>
      <c r="E70" s="5" t="n"/>
      <c r="F70" s="5" t="inlineStr">
        <is>
          <t>An automotive company is deciding whether to use autonomous AI agents to protect its cloud-connected vehicles, because cloud computing is spreading through its fleet. What does research on agentic AI say about the need for such defense and the benefits it can provide?</t>
        </is>
      </c>
      <c r="G70" s="5" t="inlineStr">
        <is>
          <t>As cloud computing increasingly pervades modern vehicles, defending car systems from cyberattacks is crucial. Research illustrates that agentic AI can provide scalable, adaptive, and robust security against potential cyber threats to the automotive industry. It also opens research and development paths toward more sophisticated AI-based security architectures.</t>
        </is>
      </c>
      <c r="H70" s="5" t="inlineStr">
        <is>
          <t>As cloud computing increasingly pervades modern vehicles, defending car systems from cyberattacks is crucial. … This research illustrates the ability of agentic AI to provide scalable, adaptive, and robust security against potential cyber threats to the automotive industry. It opens up research and development paths toward more sophisticated AI-based security architectures.</t>
        </is>
      </c>
      <c r="I70" s="5" t="inlineStr">
        <is>
          <t>AI and Digital Transformation: Opportunities, Challenges, and Emerging Threats in Technology, Business, and Security, p. 720</t>
        </is>
      </c>
      <c r="J70" s="5" t="b">
        <v>0</v>
      </c>
      <c r="K70" s="5" t="b">
        <v>0</v>
      </c>
      <c r="L70" s="5" t="inlineStr">
        <is>
          <t>low_value(2)</t>
        </is>
      </c>
      <c r="M70" s="5" t="inlineStr">
        <is>
          <t>application</t>
        </is>
      </c>
      <c r="N70" s="5" t="inlineStr">
        <is>
          <t>hard</t>
        </is>
      </c>
      <c r="O70" s="5" t="inlineStr">
        <is>
          <t>leadership_strategy</t>
        </is>
      </c>
      <c r="P70" s="5" t="n">
        <v>5</v>
      </c>
      <c r="Q70" s="5" t="n">
        <v>2</v>
      </c>
      <c r="R70" s="5" t="inlineStr">
        <is>
          <t>Every statement in the answer is taken almost verbatim from the evidence. | The scenario is self-contained and refers to research on agentic AI by its content, not to an unseen source. | value: Automotive cybersecurity is outside the responsible AI in higher education domain.</t>
        </is>
      </c>
      <c r="S70" s="5" t="inlineStr">
        <is>
          <t>A carmaker with increasingly cloud-based vehicles is considering autonomous AI agents for cybersecurity. What does research on agentic AI say about why defense matters and what it can offer?</t>
        </is>
      </c>
      <c r="T70" s="5" t="inlineStr">
        <is>
          <t>If an automotive firm weighs adopting agentic AI to secure its cloud-connected cars as cloud computing grows, what does the research say about the need and the potential benefits?</t>
        </is>
      </c>
      <c r="U70" s="5" t="inlineStr">
        <is>
          <t>full_v1</t>
        </is>
      </c>
      <c r="V70" s="5" t="inlineStr">
        <is>
          <t>ai-and-digital-transformation:0420:q1</t>
        </is>
      </c>
    </row>
    <row r="71">
      <c r="A71" s="5" t="n">
        <v>70</v>
      </c>
      <c r="B71" s="5" t="b">
        <v>0</v>
      </c>
      <c r="C71" s="6" t="n"/>
      <c r="D71" s="6" t="n"/>
      <c r="E71" s="5" t="n"/>
      <c r="F71" s="5" t="inlineStr">
        <is>
          <t>Why does the success of AI adoption in education depend on more than the technical soundness of the system?</t>
        </is>
      </c>
      <c r="G71" s="5" t="inlineStr">
        <is>
          <t>The success of AI adoption in education depends not only on the technical soundness of the system but also on the readiness of the hosting institution. Maturity models such as TRL and CMMI offer standardized tools for gauging development progress and institutional preparedness. They help mitigate risks of deploying advanced systems where infrastructure, policy safeguards, or staff training are lacking.</t>
        </is>
      </c>
      <c r="H71" s="5" t="inlineStr">
        <is>
          <t>Crucially, the success of AI adoption in education depends not only on the technical soundness of the system but also on the readiness of the hosting institution. … Maturity models such as Technology Readiness Levels (TRL) and Capability Maturity Model Integration (CMMI) offer standardized tools for gauging development progress and institutional preparedness [6], [7]. These frameworks help mitigate risks associated with deploying advanced systems in environments that lack sufficient infrastructure, policy safeguards, or staff training.</t>
        </is>
      </c>
      <c r="I71" s="5" t="inlineStr">
        <is>
          <t>24 th International Conference on Modelling and Applied Simulation (MAS 2025), held within the 22 nd International Multidisciplinary Modeling &amp; Simulation Multiconference (I3M 2025) Assessing the Maturity of Generative AI Systems: A Framework for Education and Public Engagement, p. 2</t>
        </is>
      </c>
      <c r="J71" s="5" t="b">
        <v>1</v>
      </c>
      <c r="K71" s="5" t="b">
        <v>0</v>
      </c>
      <c r="L71" s="5" t="inlineStr"/>
      <c r="M71" s="5" t="inlineStr">
        <is>
          <t>explanation</t>
        </is>
      </c>
      <c r="N71" s="5" t="inlineStr">
        <is>
          <t>medium</t>
        </is>
      </c>
      <c r="O71" s="5" t="inlineStr">
        <is>
          <t>leadership_strategy</t>
        </is>
      </c>
      <c r="P71" s="5" t="n">
        <v>4</v>
      </c>
      <c r="Q71" s="5" t="n">
        <v>4</v>
      </c>
      <c r="R71" s="5" t="inlineStr">
        <is>
          <t>All statements are directly supported; the acronyms TRL and CMMI are left unexpanded in the answer, but the content matches the evidence. | The question is self-contained and needs no reference to a source. | value: Institutional readiness and maturity models are useful knowledge for AI adoption in higher education.</t>
        </is>
      </c>
      <c r="S71" s="5" t="inlineStr">
        <is>
          <t>Why is technical soundness alone not enough for successful AI adoption in education?</t>
        </is>
      </c>
      <c r="T71" s="5" t="inlineStr">
        <is>
          <t>Why is the technical soundness of an AI system alone not enough to determine whether its adoption in education succeeds?</t>
        </is>
      </c>
      <c r="U71" s="5" t="inlineStr">
        <is>
          <t>full_v1</t>
        </is>
      </c>
      <c r="V71" s="5" t="inlineStr">
        <is>
          <t>assessing-the-maturity-of-generative-ai-systems:0000:q4</t>
        </is>
      </c>
    </row>
    <row r="72">
      <c r="A72" s="5" t="n">
        <v>71</v>
      </c>
      <c r="B72" s="5" t="b">
        <v>1</v>
      </c>
      <c r="C72" s="6" t="n"/>
      <c r="D72" s="6" t="n"/>
      <c r="E72" s="5" t="n"/>
      <c r="F72" s="5" t="inlineStr">
        <is>
          <t>Which privacy-enhancing technologies promise to guarantee privacy in other domains but create fresh tradeoffs when applied to generative AI models?</t>
        </is>
      </c>
      <c r="G72" s="5" t="inlineStr">
        <is>
          <t>Differential privacy, federated learning, homomorphic encryption and secure multi-party computation (SMPC) promise to guarantee privacy in other domains. In generative models they engender fresh tradeoffs in terms of performance, scalability and utility.</t>
        </is>
      </c>
      <c r="H72" s="5" t="inlineStr">
        <is>
          <t>Though methods like differential privacy [7], federated learning [8], homomorphic encryption [9] and secure multi-party computation (SMPC) promise to guarantee privacy in other domains, they engender fresh tradeoffs in generative models in terms of performance, scalability and utility.</t>
        </is>
      </c>
      <c r="I72" s="5" t="inlineStr">
        <is>
          <t>Innovative Educational Assessment with Generative AI: Opportunities, Challenges, and Practical Case Studies, p. 85</t>
        </is>
      </c>
      <c r="J72" s="5" t="b">
        <v>1</v>
      </c>
      <c r="K72" s="5" t="b">
        <v>1</v>
      </c>
      <c r="L72" s="5" t="inlineStr"/>
      <c r="M72" s="5" t="inlineStr">
        <is>
          <t>definition</t>
        </is>
      </c>
      <c r="N72" s="5" t="inlineStr">
        <is>
          <t>medium</t>
        </is>
      </c>
      <c r="O72" s="5" t="inlineStr">
        <is>
          <t>privacy_security</t>
        </is>
      </c>
      <c r="P72" s="5" t="n">
        <v>5</v>
      </c>
      <c r="Q72" s="5" t="n">
        <v>4</v>
      </c>
      <c r="R72" s="5" t="inlineStr">
        <is>
          <t>Every statement restates the evidence directly: the four methods and the tradeoffs in performance, scalability and utility. | The question is self-contained and does not refer to any unseen source or context. | value: Useful knowledge about privacy-preserving techniques and their limits in generative AI.</t>
        </is>
      </c>
      <c r="S72" s="5" t="inlineStr">
        <is>
          <t>What privacy-enhancing methods promise privacy guarantees elsewhere yet introduce new tradeoffs in generative models?</t>
        </is>
      </c>
      <c r="T72" s="5" t="inlineStr">
        <is>
          <t>Which techniques that promise to guarantee privacy in other domains bring fresh tradeoffs when used in generative AI models?</t>
        </is>
      </c>
      <c r="U72" s="5" t="inlineStr">
        <is>
          <t>full_v1</t>
        </is>
      </c>
      <c r="V72" s="5" t="inlineStr">
        <is>
          <t>innovative-educational:0042:q1</t>
        </is>
      </c>
    </row>
    <row r="73">
      <c r="A73" s="5" t="n">
        <v>72</v>
      </c>
      <c r="B73" s="5" t="b">
        <v>0</v>
      </c>
      <c r="C73" s="6" t="n"/>
      <c r="D73" s="6" t="n"/>
      <c r="E73" s="5" t="n"/>
      <c r="F73" s="5" t="inlineStr">
        <is>
          <t>What is the Trustworthy AI Maturity Model (TAIMM), and how does it differ from general AI management standards such as ISO 42001?</t>
        </is>
      </c>
      <c r="G73" s="5" t="inlineStr">
        <is>
          <t>TAIMM is a lifecycle-based evaluation framework designed to support the development of ethically aligned and legally compliant AI systems. Unlike general AI management standards such as ISO 42001, it provides a maturity-oriented diagnostic tool tailored to the AI lifecycle.</t>
        </is>
      </c>
      <c r="H73" s="5" t="inlineStr">
        <is>
          <t>This paper introduces the Trustworthy AI Maturity Model (TAIMM), a lifecycle-based evaluation framework designed to support the development of ethically aligned and legally compliant Artificial Intelligence (AI) systems. … Unlike general AI management standards such as ISO 42001, TAIMM provides a maturity-oriented diagnostic tool tailored to the AI lifecycle.</t>
        </is>
      </c>
      <c r="I73" s="5" t="inlineStr">
        <is>
          <t>The Trustworthy AI Maturity Model (TAIMM): Integrating ethics and regulation across the AI lifecycle, p. 1</t>
        </is>
      </c>
      <c r="J73" s="5" t="b">
        <v>1</v>
      </c>
      <c r="K73" s="5" t="b">
        <v>0</v>
      </c>
      <c r="L73" s="5" t="inlineStr"/>
      <c r="M73" s="5" t="inlineStr">
        <is>
          <t>definition</t>
        </is>
      </c>
      <c r="N73" s="5" t="inlineStr">
        <is>
          <t>medium</t>
        </is>
      </c>
      <c r="O73" s="5" t="inlineStr">
        <is>
          <t>monitoring_improvement</t>
        </is>
      </c>
      <c r="P73" s="5" t="n">
        <v>5</v>
      </c>
      <c r="Q73" s="5" t="n">
        <v>4</v>
      </c>
      <c r="R73" s="5" t="inlineStr">
        <is>
          <t>Every statement in the answer is taken directly from the evidence: the lifecycle-based framework for ethically aligned, legally compliant AI, and the maturity-oriented diagnostic tool tailored to the AI lifecycle. | The question names a specific framework and a standard explicitly and does not rely on any unseen source. | value: This is useful, somewhat specific knowledge about a trustworthy AI governance framework.</t>
        </is>
      </c>
      <c r="S73" s="5" t="inlineStr">
        <is>
          <t>How is the Trustworthy AI Maturity Model (TAIMM) defined, and what sets it apart from general AI management standards like ISO 42001?</t>
        </is>
      </c>
      <c r="T73" s="5" t="inlineStr">
        <is>
          <t>How would you define the Trustworthy AI Maturity Model (TAIMM), and in what way does it set itself apart from broad AI management standards like ISO 42001?</t>
        </is>
      </c>
      <c r="U73" s="5" t="inlineStr">
        <is>
          <t>full_v1</t>
        </is>
      </c>
      <c r="V73" s="5" t="inlineStr">
        <is>
          <t>the-trustworthy-ai-maturity-model-taimm:0000:q1</t>
        </is>
      </c>
    </row>
    <row r="74">
      <c r="A74" s="5" t="n">
        <v>73</v>
      </c>
      <c r="B74" s="5" t="b">
        <v>0</v>
      </c>
      <c r="C74" s="6" t="n"/>
      <c r="D74" s="6" t="n"/>
      <c r="E74" s="5" t="n"/>
      <c r="F74" s="5" t="inlineStr">
        <is>
          <t>Why must human experts consistently evaluate, correct, and train AI systems in high-stakes sectors such as health care?</t>
        </is>
      </c>
      <c r="G74" s="5" t="inlineStr">
        <is>
          <t>In high-stakes sectors like health care, feedback loops can determine whether AI gives accurate or erroneous medical advice. Human experts need to consistently evaluate, correct, and train these systems so that they learn and adapt from past mistakes rather than repeat them.</t>
        </is>
      </c>
      <c r="H74" s="5" t="inlineStr">
        <is>
          <t>Here, feedback loops are not just about refining an algorithm, but could mean the difference between accurate and potentially erroneous medical advice. Human experts need to consistently evaluate, correct, and train these systems, ensuring they do not just repeat past mistakes but learn and adapt from them.</t>
        </is>
      </c>
      <c r="I74" s="5" t="inlineStr">
        <is>
          <t>AI Horizons: Chapter 1 Focusing on AI Ethics and Social Impact, p. 69</t>
        </is>
      </c>
      <c r="J74" s="5" t="b">
        <v>1</v>
      </c>
      <c r="K74" s="5" t="b">
        <v>0</v>
      </c>
      <c r="L74" s="5" t="inlineStr"/>
      <c r="M74" s="5" t="inlineStr">
        <is>
          <t>explanation</t>
        </is>
      </c>
      <c r="N74" s="5" t="inlineStr">
        <is>
          <t>medium</t>
        </is>
      </c>
      <c r="O74" s="5" t="inlineStr">
        <is>
          <t>monitoring_improvement</t>
        </is>
      </c>
      <c r="P74" s="5" t="n">
        <v>4</v>
      </c>
      <c r="Q74" s="5" t="n">
        <v>4</v>
      </c>
      <c r="R74" s="5" t="inlineStr">
        <is>
          <t>The answer closely restates the evidence. The only addition is naming health care explicitly, which the evidence implies with "medical advice" and "here." | The question is self-contained and does not presuppose any source. | value: It gives a useful rationale for human-in-the-loop oversight of AI in high-stakes settings.</t>
        </is>
      </c>
      <c r="S74" s="5" t="inlineStr">
        <is>
          <t>What makes ongoing expert correction of AI important in high-stakes areas such as health care?</t>
        </is>
      </c>
      <c r="T74" s="5" t="inlineStr">
        <is>
          <t>What makes it necessary for human experts to continually assess, correct, and train AI systems in critical sectors like health care?</t>
        </is>
      </c>
      <c r="U74" s="5" t="inlineStr">
        <is>
          <t>full_v1</t>
        </is>
      </c>
      <c r="V74" s="5" t="inlineStr">
        <is>
          <t>bulk-download-chapter-1-focusing-on-ai-ethics:0049:q1</t>
        </is>
      </c>
    </row>
    <row r="75">
      <c r="A75" s="5" t="n">
        <v>74</v>
      </c>
      <c r="B75" s="5" t="b">
        <v>0</v>
      </c>
      <c r="C75" s="6" t="n"/>
      <c r="D75" s="6" t="n"/>
      <c r="E75" s="5" t="n"/>
      <c r="F75" s="5" t="inlineStr">
        <is>
          <t>What does fairness in AI-driven assessment require, and why is it needed?</t>
        </is>
      </c>
      <c r="G75" s="5" t="inlineStr">
        <is>
          <t>Fairness in AI-driven assessments requires transparent methodologies, human oversight, and adherence to ethical guidelines that prioritize student well-being and academic integrity. This is because students and educators may not fully understand how AI systems evaluate responses or flag suspicious behavior.</t>
        </is>
      </c>
      <c r="H75" s="5" t="inlineStr">
        <is>
          <t>Other concerns pertain to algorithmic transparency, as students and educators may not fully understand how AI systems evaluate responses or flag suspicious behavior. Therefore, fairness in AI-driven assessments requires transparent methodologies, human oversight, and adherence to ethical guidelines that prioritize student well-being and academic integrity.</t>
        </is>
      </c>
      <c r="I75" s="5" t="inlineStr">
        <is>
          <t>Higher Education in the Arab World, p. 67</t>
        </is>
      </c>
      <c r="J75" s="5" t="b">
        <v>1</v>
      </c>
      <c r="K75" s="5" t="b">
        <v>0</v>
      </c>
      <c r="L75" s="5" t="inlineStr"/>
      <c r="M75" s="5" t="inlineStr">
        <is>
          <t>definition</t>
        </is>
      </c>
      <c r="N75" s="5" t="inlineStr">
        <is>
          <t>medium</t>
        </is>
      </c>
      <c r="O75" s="5" t="inlineStr">
        <is>
          <t>assessment</t>
        </is>
      </c>
      <c r="P75" s="5" t="n">
        <v>5</v>
      </c>
      <c r="Q75" s="5" t="n">
        <v>4</v>
      </c>
      <c r="R75" s="5" t="inlineStr">
        <is>
          <t>Both the requirements and the reason are stated directly in the evidence, with only minimal rewording. | The question is self-contained, uses no source references, and its terms are clear. | value: It covers useful, practical domain knowledge about fairness requirements in AI-based assessment.</t>
        </is>
      </c>
      <c r="S75" s="5" t="inlineStr">
        <is>
          <t>What conditions must be met for AI-driven assessments to be fair, and what is the reason?</t>
        </is>
      </c>
      <c r="T75" s="5" t="inlineStr">
        <is>
          <t>Why does fairness in AI-based assessment depend on certain measures, and what are they?</t>
        </is>
      </c>
      <c r="U75" s="5" t="inlineStr">
        <is>
          <t>full_v1</t>
        </is>
      </c>
      <c r="V75" s="5" t="inlineStr">
        <is>
          <t>higher-education-in-arab:0038:q1</t>
        </is>
      </c>
    </row>
    <row r="76">
      <c r="A76" s="5" t="n">
        <v>75</v>
      </c>
      <c r="B76" s="5" t="b">
        <v>0</v>
      </c>
      <c r="C76" s="6" t="n"/>
      <c r="D76" s="6" t="n"/>
      <c r="E76" s="5" t="n"/>
      <c r="F76" s="5" t="inlineStr">
        <is>
          <t>How is the Guide-AI-Ed model meant to be used, and why should it be read as conceptual rather than strictly causal?</t>
        </is>
      </c>
      <c r="G76" s="5" t="inlineStr">
        <is>
          <t>The model is intended as a design-oriented tool that supports reasoning about GenAI-related risks, interventions, and educational outcomes, not as a prescriptive procedure or checklist. Not all of its links are empirically validated in depth at this stage, so it should be interpreted as conceptual rather than strictly causal.</t>
        </is>
      </c>
      <c r="H76" s="5" t="inlineStr">
        <is>
          <t>We shall further clarify that the proposed model is not intended as a prescriptive procedure or checklist, but as a design-oriented tool that would support reasoning about GenAI-related risks, interventions, and educational outcomes. … However, we shall clarify that not all links are empirically validated at this stage indepth, and the model should therefore be interpreted as conceptual rather than strictly causal.</t>
        </is>
      </c>
      <c r="I76" s="5" t="inlineStr">
        <is>
          <t>Encouraging responsible GenAI use in software engineering education: A design-oriented model, p. 8</t>
        </is>
      </c>
      <c r="J76" s="5" t="b">
        <v>1</v>
      </c>
      <c r="K76" s="5" t="b">
        <v>0</v>
      </c>
      <c r="L76" s="5" t="inlineStr"/>
      <c r="M76" s="5" t="inlineStr">
        <is>
          <t>definition</t>
        </is>
      </c>
      <c r="N76" s="5" t="inlineStr">
        <is>
          <t>medium</t>
        </is>
      </c>
      <c r="O76" s="5" t="inlineStr">
        <is>
          <t>general</t>
        </is>
      </c>
      <c r="P76" s="5" t="n">
        <v>5</v>
      </c>
      <c r="Q76" s="5" t="n">
        <v>4</v>
      </c>
      <c r="R76" s="5" t="inlineStr">
        <is>
          <t>Both statements in the answer directly restate the evidence. It covers the design-oriented, non-prescriptive purpose and the incomplete empirical validation that makes the model conceptual. | The question names the Guide-AI-Ed model by name and contains no references to the source or to unseen context. | value: This is useful, somewhat specific knowledge about how to interpret a GenAI-in-education framework.</t>
        </is>
      </c>
      <c r="S76" s="5" t="inlineStr">
        <is>
          <t>What is the intended purpose of the Guide-AI-Ed model, and why is it interpreted as conceptual and not strictly causal?</t>
        </is>
      </c>
      <c r="T76" s="5" t="inlineStr">
        <is>
          <t>What is the intended way to apply the Guide-AI-Ed model, and what is the reason it should be understood as a conceptual model instead of a strictly causal one?</t>
        </is>
      </c>
      <c r="U76" s="5" t="inlineStr">
        <is>
          <t>full_v1</t>
        </is>
      </c>
      <c r="V76" s="5" t="inlineStr">
        <is>
          <t>encouraging-responsible-genai-use-in-software:0012:q2</t>
        </is>
      </c>
    </row>
    <row r="77">
      <c r="A77" s="5" t="n">
        <v>76</v>
      </c>
      <c r="B77" s="5" t="b">
        <v>0</v>
      </c>
      <c r="C77" s="6" t="n"/>
      <c r="D77" s="6" t="n"/>
      <c r="E77" s="5" t="n"/>
      <c r="F77" s="5" t="inlineStr">
        <is>
          <t>Why are formative evaluation and adapting technology to each specific environment necessary when introducing educational innovations?</t>
        </is>
      </c>
      <c r="G77" s="5" t="inlineStr">
        <is>
          <t>Educational progress frequently occurs before measurement practices have fully adapted to these innovations. This highlights the necessity of implementing formative evaluation and translating technology for each specific environment.</t>
        </is>
      </c>
      <c r="H77" s="5" t="inlineStr">
        <is>
          <t>Nonetheless, educational progress frequently occurs prior to the complete adaptation of measurement practices to these innovations, highlighting the necessity of implementing formative evaluation and translating technology for each specific environment [66].</t>
        </is>
      </c>
      <c r="I77" s="5" t="inlineStr">
        <is>
          <t>Higher Education in the Arab World, p. 512</t>
        </is>
      </c>
      <c r="J77" s="5" t="b">
        <v>1</v>
      </c>
      <c r="K77" s="5" t="b">
        <v>0</v>
      </c>
      <c r="L77" s="5" t="inlineStr"/>
      <c r="M77" s="5" t="inlineStr">
        <is>
          <t>explanation</t>
        </is>
      </c>
      <c r="N77" s="5" t="inlineStr">
        <is>
          <t>medium</t>
        </is>
      </c>
      <c r="O77" s="5" t="inlineStr">
        <is>
          <t>monitoring_improvement</t>
        </is>
      </c>
      <c r="P77" s="5" t="n">
        <v>5</v>
      </c>
      <c r="Q77" s="5" t="n">
        <v>3</v>
      </c>
      <c r="R77" s="5" t="inlineStr">
        <is>
          <t>The answer directly restates the evidence sentence without adding claims. | The question is self-contained and does not reference an unseen source. | value: It gives a relevant but thin rationale about evaluating educational innovations that is close to restating the question.</t>
        </is>
      </c>
      <c r="S77" s="5" t="inlineStr">
        <is>
          <t>What makes formative evaluation and tailoring technology to each environment necessary for educational innovations?</t>
        </is>
      </c>
      <c r="T77" s="5" t="inlineStr">
        <is>
          <t>What makes formative evaluation and tailoring technology to the particular setting essential when educational innovations are introduced?</t>
        </is>
      </c>
      <c r="U77" s="5" t="inlineStr">
        <is>
          <t>full_v1</t>
        </is>
      </c>
      <c r="V77" s="5" t="inlineStr">
        <is>
          <t>higher-education-in-arab:0285:q4</t>
        </is>
      </c>
    </row>
    <row r="78">
      <c r="A78" s="5" t="n">
        <v>77</v>
      </c>
      <c r="B78" s="5" t="b">
        <v>0</v>
      </c>
      <c r="C78" s="6" t="n"/>
      <c r="D78" s="6" t="n"/>
      <c r="E78" s="5" t="n"/>
      <c r="F78" s="5" t="inlineStr">
        <is>
          <t>Why might findings from a study of AI literacy at a single private, multisite Vietnamese university not generalise to other kinds of institutions?</t>
        </is>
      </c>
      <c r="G78" s="5" t="inlineStr">
        <is>
          <t>The sample was confined to a single private, multisite university in Vietnam, so results may not generalise to public universities, vocational colleges, or elite research institutions. Patterns of AI access, instructional support, and career orientation may differ in systems with different funding models, governance structures, or student demographics.</t>
        </is>
      </c>
      <c r="H78" s="5" t="inlineStr">
        <is>
          <t>The sampling frame was confined to a single private, multisite university in Vietnam. Although the five campuses are geographically dispersed and include a mix of programmes and student profiles, the results may not generalise to public universities, vocational colleges, or elite research institutions. Patterns of AI access, instructional support, and career orientation may differ in systems with different funding models, governance structures, or student demographics.</t>
        </is>
      </c>
      <c r="I78" s="5" t="inlineStr">
        <is>
          <t>Empowered by AI: exploring the link between literacy, self-efficacy, and career expectations, p. 13</t>
        </is>
      </c>
      <c r="J78" s="5" t="b">
        <v>0</v>
      </c>
      <c r="K78" s="5" t="b">
        <v>0</v>
      </c>
      <c r="L78" s="5" t="inlineStr">
        <is>
          <t>low_value(2)</t>
        </is>
      </c>
      <c r="M78" s="5" t="inlineStr">
        <is>
          <t>factual</t>
        </is>
      </c>
      <c r="N78" s="5" t="inlineStr">
        <is>
          <t>easy</t>
        </is>
      </c>
      <c r="O78" s="5" t="inlineStr">
        <is>
          <t>general</t>
        </is>
      </c>
      <c r="P78" s="5" t="n">
        <v>5</v>
      </c>
      <c r="Q78" s="5" t="n">
        <v>2</v>
      </c>
      <c r="R78" s="5" t="inlineStr">
        <is>
          <t>Every statement in the answer is taken directly from the evidence: the single-institution sample, the institution types it may not generalise to, and the differing patterns of access, support and career orientation. | The question identifies the study by its content and needs no unseen context. | value: The pair concerns a study limitation about sampling and generalisability, which is research methodology.</t>
        </is>
      </c>
      <c r="S78" s="5" t="inlineStr">
        <is>
          <t>Why may results from one private multisite university in Vietnam not apply to public universities, vocational colleges or elite research institutions?</t>
        </is>
      </c>
      <c r="T78" s="5" t="inlineStr">
        <is>
          <t>What reason is given for the limited generalisability of AI literacy findings drawn from one private Vietnamese university?</t>
        </is>
      </c>
      <c r="U78" s="5" t="inlineStr">
        <is>
          <t>full_v1</t>
        </is>
      </c>
      <c r="V78" s="5" t="inlineStr">
        <is>
          <t>empowered-by-ai-exploring-the-link-between:0026:q2</t>
        </is>
      </c>
    </row>
    <row r="79">
      <c r="A79" s="5" t="n">
        <v>78</v>
      </c>
      <c r="B79" s="5" t="b">
        <v>1</v>
      </c>
      <c r="C79" s="6" t="n"/>
      <c r="D79" s="6" t="n"/>
      <c r="E79" s="5" t="n"/>
      <c r="F79" s="5" t="inlineStr">
        <is>
          <t>What negative effects can the additional IT infrastructure demands of digital transformation have on a higher education institution?</t>
        </is>
      </c>
      <c r="G79" s="5" t="inlineStr">
        <is>
          <t>As new functionalities are introduced, additional demands on IT infrastructure create an increasingly specialized workload. This can prolong the institution's adaptation process and compromise the quality of digital resources, user services and management support tools. These challenges negatively affect institutional efficiency and user experience and contribute to increased resistance to change.</t>
        </is>
      </c>
      <c r="H79" s="5" t="inlineStr">
        <is>
          <t>As new functionalities are introduced, digital transformation imposes additional demands on IT infrastructure, leading to an increasingly specialized workload over time. These factors can prolong the institution's adaptation process across all areas, compromising the quality of digital resources, impacting user services and management support tools. Such challenges negatively affect institutional efficiency, user experience, and contribute to increased resistance to change.</t>
        </is>
      </c>
      <c r="I79" s="5" t="inlineStr">
        <is>
          <t>Digital transformation in the management of higher education institutions, p. 9</t>
        </is>
      </c>
      <c r="J79" s="5" t="b">
        <v>1</v>
      </c>
      <c r="K79" s="5" t="b">
        <v>0</v>
      </c>
      <c r="L79" s="5" t="inlineStr"/>
      <c r="M79" s="5" t="inlineStr">
        <is>
          <t>definition</t>
        </is>
      </c>
      <c r="N79" s="5" t="inlineStr">
        <is>
          <t>medium</t>
        </is>
      </c>
      <c r="O79" s="5" t="inlineStr">
        <is>
          <t>procurement_technology</t>
        </is>
      </c>
      <c r="P79" s="5" t="n">
        <v>4</v>
      </c>
      <c r="Q79" s="5" t="n">
        <v>4</v>
      </c>
      <c r="R79" s="5" t="inlineStr">
        <is>
          <t>The answer closely restates the evidence, with only minor rewording such as saying 'compromise the quality of ... user services' rather than 'impacting user services'. | The question is self-contained and makes no reference to an unseen source. | value: It gives useful institutional knowledge about the challenges digital transformation creates in higher education.</t>
        </is>
      </c>
      <c r="S79" s="5" t="inlineStr">
        <is>
          <t>How can growing IT infrastructure demands from digital transformation harm a higher education institution?</t>
        </is>
      </c>
      <c r="T79" s="5" t="inlineStr">
        <is>
          <t>What problems arise when digital transformation imposes extra demands on a university's IT infrastructure?</t>
        </is>
      </c>
      <c r="U79" s="5" t="inlineStr">
        <is>
          <t>full_v1</t>
        </is>
      </c>
      <c r="V79" s="5" t="inlineStr">
        <is>
          <t>digital-transformation-in-the-management-of:0011:q4</t>
        </is>
      </c>
    </row>
    <row r="80">
      <c r="A80" s="5" t="n">
        <v>79</v>
      </c>
      <c r="B80" s="5" t="b">
        <v>1</v>
      </c>
      <c r="C80" s="6" t="n"/>
      <c r="D80" s="6" t="n"/>
      <c r="E80" s="5" t="n"/>
      <c r="F80" s="5" t="inlineStr">
        <is>
          <t>A teacher education program has measured pre-service teachers' competence using the Intelligent-TPACK framework (AI-extended technological, pedagogical and content knowledge, with an ethics factor) and wants to compare the correlations among its factors, especially technological knowledge and ethics, with results from studies in other contexts. What should it keep in mind to make that comparison appropriate?</t>
        </is>
      </c>
      <c r="G80" s="5" t="inlineStr">
        <is>
          <t>Cultural or contextual reasons cannot be discarded when explaining different correlation values among Intelligent-TPACK factors, especially technological knowledge and ethics. To be compared appropriately, contextual factors require similar research conditions, such as methods and frameworks, so that they can be well discussed and scientifically compared.</t>
        </is>
      </c>
      <c r="H80" s="5" t="inlineStr">
        <is>
          <t>In this regard, cultural or contextual reasons cannot be discarded when addressing these different values when correlating iTPACK factors [26], especially iTK and ETHICS. Nevertheless, to be compared appropriately, contextual factors require similar research conditions (methods, frameworks) to be well discussed and scientifically compared.</t>
        </is>
      </c>
      <c r="I80" s="5" t="inlineStr">
        <is>
          <t>Conceptualizing pre-service teachers' readiness for AI integration into teaching practices: An intelligent-TPACK approach, p. 9</t>
        </is>
      </c>
      <c r="J80" s="5" t="b">
        <v>1</v>
      </c>
      <c r="K80" s="5" t="b">
        <v>1</v>
      </c>
      <c r="L80" s="5" t="inlineStr"/>
      <c r="M80" s="5" t="inlineStr">
        <is>
          <t>application</t>
        </is>
      </c>
      <c r="N80" s="5" t="inlineStr">
        <is>
          <t>hard</t>
        </is>
      </c>
      <c r="O80" s="5" t="inlineStr">
        <is>
          <t>faculty_readiness</t>
        </is>
      </c>
      <c r="P80" s="5" t="n">
        <v>5</v>
      </c>
      <c r="Q80" s="5" t="n">
        <v>3</v>
      </c>
      <c r="R80" s="5" t="inlineStr">
        <is>
          <t>The answer closely restates both sentences of the evidence, adding nothing new. | The question defines Intelligent-TPACK, sets out the scenario and does not refer to any source. | value: This is a narrow, mostly methodological point about comparing correlations across contexts, though it does concern AI competence in teacher education.</t>
        </is>
      </c>
      <c r="S80" s="5" t="inlineStr">
        <is>
          <t>A university teacher-training program used the Intelligent-TPACK framework, which adds AI and ethics to TPACK, and plans to compare its factor correlations, particularly for technological knowledge and ethics, with studies from other settings. What should it consider so the comparison is appropriate?</t>
        </is>
      </c>
      <c r="T80" s="5" t="inlineStr">
        <is>
          <t>How can a program that measured pre-service teachers with the Intelligent-TPACK framework appropriately compare its correlations among factors, especially technological knowledge and ethics, with findings from other contexts?</t>
        </is>
      </c>
      <c r="U80" s="5" t="inlineStr">
        <is>
          <t>full_v1</t>
        </is>
      </c>
      <c r="V80" s="5" t="inlineStr">
        <is>
          <t>conceptualizing-pre-service-teachers-readiness:0015:q1</t>
        </is>
      </c>
    </row>
    <row r="81">
      <c r="A81" s="5" t="n">
        <v>80</v>
      </c>
      <c r="B81" s="5" t="b">
        <v>0</v>
      </c>
      <c r="C81" s="6" t="n"/>
      <c r="D81" s="6" t="n"/>
      <c r="E81" s="5" t="n"/>
      <c r="F81" s="5" t="inlineStr">
        <is>
          <t>How does the hybrid blockchain-AI cloud storage system use blockchain's features and AI's capabilities to protect data?</t>
        </is>
      </c>
      <c r="G81" s="5" t="inlineStr">
        <is>
          <t>The system employs blockchain's decentralized architecture and tamper-evident ledger for integrity and access control. Artificial Intelligence is used for real-time monitoring, anomaly detection, and threat response. The combination provides real-time anomaly detection and fixed logging of access and data modification.</t>
        </is>
      </c>
      <c r="H81" s="5" t="inlineStr">
        <is>
          <t>Blockchain's decentralized architecture and tamper-evident ledger are employed in the system for integrity and access control. In contrast, Artificial Intelligence is used for realtime monitoring, anomaly detection, and threat response. … The combination provides real-time anomaly detection and fixed logging of access and data modification [14].</t>
        </is>
      </c>
      <c r="I81" s="5" t="inlineStr">
        <is>
          <t>AI and Digital Transformation: Opportunities, Challenges, and Emerging Threats in Technology, Business, and Security, pp. 98-99</t>
        </is>
      </c>
      <c r="J81" s="5" t="b">
        <v>0</v>
      </c>
      <c r="K81" s="5" t="b">
        <v>0</v>
      </c>
      <c r="L81" s="5" t="inlineStr">
        <is>
          <t>low_value(2)</t>
        </is>
      </c>
      <c r="M81" s="5" t="inlineStr">
        <is>
          <t>explanation</t>
        </is>
      </c>
      <c r="N81" s="5" t="inlineStr">
        <is>
          <t>medium</t>
        </is>
      </c>
      <c r="O81" s="5" t="inlineStr">
        <is>
          <t>privacy_security</t>
        </is>
      </c>
      <c r="P81" s="5" t="n">
        <v>5</v>
      </c>
      <c r="Q81" s="5" t="n">
        <v>2</v>
      </c>
      <c r="R81" s="5" t="inlineStr">
        <is>
          <t>Every statement in the answer is restated directly from the evidence, with only minor rewording. | The question names the system by its content (a hybrid blockchain-AI cloud storage system) and needs no outside context to understand. | value: The pair concerns cloud storage security technology, which is only tangentially related to responsible AI in higher education.</t>
        </is>
      </c>
      <c r="S81" s="5" t="inlineStr">
        <is>
          <t>What does the hybrid system use blockchain's decentralized, tamper-evident ledger for, and what does it use AI for?</t>
        </is>
      </c>
      <c r="T81" s="5" t="inlineStr">
        <is>
          <t>In the proposed hybrid cloud storage system, which security tasks are handled by blockchain and which by AI?</t>
        </is>
      </c>
      <c r="U81" s="5" t="inlineStr">
        <is>
          <t>full_v1</t>
        </is>
      </c>
      <c r="V81" s="5" t="inlineStr">
        <is>
          <t>ai-and-digital-transformation:0060:q4</t>
        </is>
      </c>
    </row>
    <row r="82">
      <c r="A82" s="5" t="n">
        <v>81</v>
      </c>
      <c r="B82" s="5" t="b">
        <v>0</v>
      </c>
      <c r="C82" s="6" t="n"/>
      <c r="D82" s="6" t="n"/>
      <c r="E82" s="5" t="n"/>
      <c r="F82" s="5" t="inlineStr">
        <is>
          <t>Why are author keywords in AI-in-education research more heavily skewed toward the search terms "artificial intelligence" and "education" than keywords plus?</t>
        </is>
      </c>
      <c r="G82" s="5" t="inlineStr">
        <is>
          <t>The skew is probably due to the greater diversity and less standardized nature of author keywords compared to keywords plus. Author keywords are also more specific to article content, whereas keywords plus are more broadly descriptive.</t>
        </is>
      </c>
      <c r="H82" s="5" t="inlineStr">
        <is>
          <t>The distribution of author keywords is heavily biased towards the two search keywords, "artificial intelligence" and "education". This skewness is probably due to the greater diversity and less standardized nature of author keywords compared to keywords plus. … First, keywords plus are more broadly descriptive, while author keywords are more specific to article content. For instance, the top keywords in keywords plus, excluding the top 2, consist of general terms such as "system", "students", "performance", "design", "technology", "models", and "sciences".</t>
        </is>
      </c>
      <c r="I82" s="5" t="inlineStr">
        <is>
          <t>Artificial intelligence in education: A systematic literature review, p. 4</t>
        </is>
      </c>
      <c r="J82" s="5" t="b">
        <v>0</v>
      </c>
      <c r="K82" s="5" t="b">
        <v>0</v>
      </c>
      <c r="L82" s="5" t="inlineStr">
        <is>
          <t>low_value(2)</t>
        </is>
      </c>
      <c r="M82" s="5" t="inlineStr">
        <is>
          <t>explanation</t>
        </is>
      </c>
      <c r="N82" s="5" t="inlineStr">
        <is>
          <t>medium</t>
        </is>
      </c>
      <c r="O82" s="5" t="inlineStr">
        <is>
          <t>general</t>
        </is>
      </c>
      <c r="P82" s="5" t="n">
        <v>4</v>
      </c>
      <c r="Q82" s="5" t="n">
        <v>2</v>
      </c>
      <c r="R82" s="5" t="inlineStr">
        <is>
          <t>Both statements appear in the evidence. The second point about specificity is presented in the evidence as a separate difference, not explicitly as a cause of the skew, so framing it as part of the explanation is a slight stretch. | The question names the research area and the specific search terms, so it is understandable without the source. | value: This concerns bibliometric keyword methodology rather than substantive responsible-AI or higher-education knowledge.</t>
        </is>
      </c>
      <c r="S82" s="5" t="inlineStr">
        <is>
          <t>What probably explains why author keywords in AI-in-education literature cluster more around "artificial intelligence" and "education" than keywords plus do?</t>
        </is>
      </c>
      <c r="T82" s="5" t="inlineStr">
        <is>
          <t>Why does the distribution of author keywords in AIED research lean more strongly toward the two search terms than the distribution of keywords plus?</t>
        </is>
      </c>
      <c r="U82" s="5" t="inlineStr">
        <is>
          <t>full_v1</t>
        </is>
      </c>
      <c r="V82" s="5" t="inlineStr">
        <is>
          <t>artificial-intelligence-in-education:0009:q1</t>
        </is>
      </c>
    </row>
    <row r="83">
      <c r="A83" s="5" t="n">
        <v>82</v>
      </c>
      <c r="B83" s="5" t="b">
        <v>1</v>
      </c>
      <c r="C83" s="6" t="n"/>
      <c r="D83" s="6" t="n"/>
      <c r="E83" s="5" t="n"/>
      <c r="F83" s="5" t="inlineStr">
        <is>
          <t>According to Faulconer et al. (2021), what is feedback to students and why does it matter to them?</t>
        </is>
      </c>
      <c r="G83" s="5" t="inlineStr">
        <is>
          <t>Faulconer et al. (2021) argue that feedback is important for students because it provides insights related to their performance and their strengths and weaknesses.</t>
        </is>
      </c>
      <c r="H83" s="5" t="inlineStr">
        <is>
          <t>Faulconer et al. (2021) argue that feedback is important for students as it provides insights related to their performance and their strengths and weaknesses.</t>
        </is>
      </c>
      <c r="I83" s="5" t="inlineStr">
        <is>
          <t>Artificial Intelligence and Higher Education: The Impact of AI on Business Students Learning, p. 122</t>
        </is>
      </c>
      <c r="J83" s="5" t="b">
        <v>1</v>
      </c>
      <c r="K83" s="5" t="b">
        <v>0</v>
      </c>
      <c r="L83" s="5" t="inlineStr"/>
      <c r="M83" s="5" t="inlineStr">
        <is>
          <t>definition</t>
        </is>
      </c>
      <c r="N83" s="5" t="inlineStr">
        <is>
          <t>medium</t>
        </is>
      </c>
      <c r="O83" s="5" t="inlineStr">
        <is>
          <t>teaching_learning</t>
        </is>
      </c>
      <c r="P83" s="5" t="n">
        <v>5</v>
      </c>
      <c r="Q83" s="5" t="n">
        <v>3</v>
      </c>
      <c r="R83" s="5" t="inlineStr">
        <is>
          <t>The answer restates the evidence almost verbatim: feedback gives insight into students' performance, strengths and weaknesses. | The question names a specific study by author and year, so a reader knows which claim is meant, and it does not rely on unseen context. | value: Why feedback matters is relevant to higher-education pedagogy but is generic and not specific to AI.</t>
        </is>
      </c>
      <c r="S83" s="5" t="inlineStr">
        <is>
          <t>How do Faulconer et al. (2021) characterize the importance of feedback for students?</t>
        </is>
      </c>
      <c r="T83" s="5" t="inlineStr">
        <is>
          <t>What do Faulconer et al. (2021) say feedback gives students, making it important?</t>
        </is>
      </c>
      <c r="U83" s="5" t="inlineStr">
        <is>
          <t>full_v1</t>
        </is>
      </c>
      <c r="V83" s="5" t="inlineStr">
        <is>
          <t>artificial-intelligence-and-higher-education:0069:q0</t>
        </is>
      </c>
    </row>
    <row r="84">
      <c r="A84" s="5" t="n">
        <v>83</v>
      </c>
      <c r="B84" s="5" t="b">
        <v>1</v>
      </c>
      <c r="C84" s="6" t="n"/>
      <c r="D84" s="6" t="n"/>
      <c r="E84" s="5" t="n"/>
      <c r="F84" s="5" t="inlineStr">
        <is>
          <t>What does Education 5.0 build on, and what does it add to that earlier model?</t>
        </is>
      </c>
      <c r="G84" s="5" t="inlineStr">
        <is>
          <t>Education 5.0 builds on Education 4.0, the digital and personalized learning paradigm aligned with Industry 4.0. It extends that model by integrating AI and data-driven tools with humanistic pedagogies that emphasize creativity, emotional intelligence, and lifelong learning.</t>
        </is>
      </c>
      <c r="H84" s="5" t="inlineStr">
        <is>
          <t>This framework builds on "Education 4.0" (the digital and personalized learning paradigm aligned with Industry 4.0) and extends the model by integrating AI and data-driven tools with humanistic pedagogies that emphasize creativity, emotional intelligence, and lifelong learning (Shahidi Hamedani et al., 2024; UNESCO, 2021b).</t>
        </is>
      </c>
      <c r="I84" s="5" t="inlineStr">
        <is>
          <t>AI in education, sustainability, and the future of work: An integrative review of industry 5.0, education 5.0, and work 5.0, p. 1</t>
        </is>
      </c>
      <c r="J84" s="5" t="b">
        <v>1</v>
      </c>
      <c r="K84" s="5" t="b">
        <v>0</v>
      </c>
      <c r="L84" s="5" t="inlineStr"/>
      <c r="M84" s="5" t="inlineStr">
        <is>
          <t>factual</t>
        </is>
      </c>
      <c r="N84" s="5" t="inlineStr">
        <is>
          <t>easy</t>
        </is>
      </c>
      <c r="O84" s="5" t="inlineStr">
        <is>
          <t>teaching_learning</t>
        </is>
      </c>
      <c r="P84" s="5" t="n">
        <v>5</v>
      </c>
      <c r="Q84" s="5" t="n">
        <v>4</v>
      </c>
      <c r="R84" s="5" t="inlineStr">
        <is>
          <t>Every statement in the answer is stated directly in the evidence. The evidence's 'this framework' presumably refers to Education 5.0. | The question names Education 5.0 explicitly and does not presuppose any source. | value: Useful conceptual knowledge about education paradigms that integrate AI.</t>
        </is>
      </c>
      <c r="S84" s="5" t="inlineStr">
        <is>
          <t>Which earlier paradigm does Education 5.0 extend, and how does it extend it?</t>
        </is>
      </c>
      <c r="T84" s="5" t="inlineStr">
        <is>
          <t>What is Education 5.0's foundation, and what does it integrate beyond that foundation?</t>
        </is>
      </c>
      <c r="U84" s="5" t="inlineStr">
        <is>
          <t>full_v1</t>
        </is>
      </c>
      <c r="V84" s="5" t="inlineStr">
        <is>
          <t>ai-in-education-sustainability-and-the-future:0001:q1</t>
        </is>
      </c>
    </row>
    <row r="85">
      <c r="A85" s="5" t="n">
        <v>84</v>
      </c>
      <c r="B85" s="5" t="b">
        <v>0</v>
      </c>
      <c r="C85" s="6" t="n"/>
      <c r="D85" s="6" t="n"/>
      <c r="E85" s="5" t="n"/>
      <c r="F85" s="5" t="inlineStr">
        <is>
          <t>An engineering faculty wants to give students a platform to explore real-world scenarios, run predictive analysis and make decisions before building physical prototypes. What technology could it use, and what can that technology do?</t>
        </is>
      </c>
      <c r="G85" s="5" t="inlineStr">
        <is>
          <t>AI twin technology, or AI-enhanced digital twins, merges AI with digital twin models. AI twins replicate physical systems virtually and use AI algorithms to predict, optimize, and even autonomously improve system performance. It gives engineering students a dynamic, intelligent platform to explore real-world scenarios, conduct predictive analysis and engage in decision-making, preparing them for complex, data-driven systems in modern industry.</t>
        </is>
      </c>
      <c r="H85" s="5" t="inlineStr">
        <is>
          <t>Artificial intelligence twin technology, or AI-enhanced digital twins, represents the next evolution in engineering education by merging the power of AI with digital twin models. … AI twins not only replicate physical systems in a virtual environment but also use AI algorithms to predict, optimize, and even autonomously improve system performance. … This advanced technology provides engineering students with a dynamic, intelligent platform to explore real-world scenarios, conduct predictive analysis, and engage in decision-making, preparing them to work with complex, data-driven systems in modern industry.</t>
        </is>
      </c>
      <c r="I85" s="5" t="inlineStr">
        <is>
          <t>Higher Education in the Arab World, p. 272</t>
        </is>
      </c>
      <c r="J85" s="5" t="b">
        <v>1</v>
      </c>
      <c r="K85" s="5" t="b">
        <v>0</v>
      </c>
      <c r="L85" s="5" t="inlineStr"/>
      <c r="M85" s="5" t="inlineStr">
        <is>
          <t>application</t>
        </is>
      </c>
      <c r="N85" s="5" t="inlineStr">
        <is>
          <t>hard</t>
        </is>
      </c>
      <c r="O85" s="5" t="inlineStr">
        <is>
          <t>teaching_learning</t>
        </is>
      </c>
      <c r="P85" s="5" t="n">
        <v>5</v>
      </c>
      <c r="Q85" s="5" t="n">
        <v>4</v>
      </c>
      <c r="R85" s="5" t="inlineStr">
        <is>
          <t>Every statement in the answer is taken directly from the evidence: the merger of AI with digital twins, virtual replication, prediction and optimization, and the student platform that prepares learners for industry. | The question describes a concrete scenario without referring to any source or using undefined terms. | value: It gives useful, somewhat specific knowledge about applying AI-enhanced digital twins in engineering education.</t>
        </is>
      </c>
      <c r="S85" s="5" t="inlineStr">
        <is>
          <t>A university engineering department wants students to explore real-world scenarios, do predictive analysis and decide before physical prototypes are built. Which technology fits, and what does it do?</t>
        </is>
      </c>
      <c r="T85" s="5" t="inlineStr">
        <is>
          <t>Which technology could an engineering school adopt to let students simulate real-world scenarios, predict outcomes and make decisions ahead of physical prototyping, and what are its capabilities?</t>
        </is>
      </c>
      <c r="U85" s="5" t="inlineStr">
        <is>
          <t>full_v1</t>
        </is>
      </c>
      <c r="V85" s="5" t="inlineStr">
        <is>
          <t>higher-education-in-arab:0153:q1</t>
        </is>
      </c>
    </row>
    <row r="86">
      <c r="A86" s="5" t="n">
        <v>85</v>
      </c>
      <c r="B86" s="5" t="b">
        <v>1</v>
      </c>
      <c r="C86" s="6" t="n"/>
      <c r="D86" s="6" t="n"/>
      <c r="E86" s="5" t="n"/>
      <c r="F86" s="5" t="inlineStr">
        <is>
          <t>An accounting department finds that its learning management system works poorly with AI tools and that many AI-assisted academic integrity cases are hard to trace. What system does a 2025 study on balancing efficiency and engagement in accounting education propose, and what would it enable?</t>
        </is>
      </c>
      <c r="G86" s="5" t="inlineStr">
        <is>
          <t>Current learning management systems are inadequately compatible with AI tools, and 42% of academic integrity cases involving AI assistance prove difficult to trace. The authors propose an integrated smart monitoring system combining learning management platforms, AI detection tools, and digital portfolios. It would enable visual traceability of how assignments are created.</t>
        </is>
      </c>
      <c r="H86" s="5" t="inlineStr">
        <is>
          <t>Current learning management systems demonstrate inadequate compatibility with AI tools, and 42% of academic integrity cases involving AI assistance prove difficult to trace. … We propose creating an integrated smart monitoring system that combines learning management platforms, AI detection tools, and digital portfolios to enable visual traceability of assignment creation processes.</t>
        </is>
      </c>
      <c r="I86" s="5" t="inlineStr">
        <is>
          <t>Artificial Intelligence and Accounting Education: Policy, Practice and Research, p. 64</t>
        </is>
      </c>
      <c r="J86" s="5" t="b">
        <v>1</v>
      </c>
      <c r="K86" s="5" t="b">
        <v>0</v>
      </c>
      <c r="L86" s="5" t="inlineStr"/>
      <c r="M86" s="5" t="inlineStr">
        <is>
          <t>application</t>
        </is>
      </c>
      <c r="N86" s="5" t="inlineStr">
        <is>
          <t>hard</t>
        </is>
      </c>
      <c r="O86" s="5" t="inlineStr">
        <is>
          <t>assessment</t>
        </is>
      </c>
      <c r="P86" s="5" t="n">
        <v>5</v>
      </c>
      <c r="Q86" s="5" t="n">
        <v>4</v>
      </c>
      <c r="R86" s="5" t="inlineStr">
        <is>
          <t>Every statement in the answer is directly stated in the evidence: the 42% figure, the integrated smart monitoring system and its three components, and the visual traceability of assignment creation. | The question sets up a self-contained scenario and identifies the study by its content and year, without referring to unseen context. | value: It is a useful, somewhat specific institutional recommendation for AI and academic integrity in accounting education.</t>
        </is>
      </c>
      <c r="S86" s="5" t="inlineStr">
        <is>
          <t>A university accounting program has a learning management system that is poorly compatible with AI tools, and many AI-assisted integrity cases cannot be traced. What monitoring system does a 2025 accounting education study propose, and what does it make possible?</t>
        </is>
      </c>
      <c r="T86" s="5" t="inlineStr">
        <is>
          <t>A university accounting program has a learning management system that integrates poorly with AI tools, and it struggles to trace many AI-assisted academic integrity incidents. In a 2025 study on balancing efficiency and engagement in accounting education, what system is proposed and what capability would it provide?</t>
        </is>
      </c>
      <c r="U86" s="5" t="inlineStr">
        <is>
          <t>full_v1</t>
        </is>
      </c>
      <c r="V86" s="5" t="inlineStr">
        <is>
          <t>artificial-intelligence-and-accounting-education:0031:q0</t>
        </is>
      </c>
    </row>
    <row r="87">
      <c r="A87" s="5" t="n">
        <v>86</v>
      </c>
      <c r="B87" s="5" t="b">
        <v>1</v>
      </c>
      <c r="C87" s="6" t="n"/>
      <c r="D87" s="6" t="n"/>
      <c r="E87" s="5" t="n"/>
      <c r="F87" s="5" t="inlineStr">
        <is>
          <t>A university serving mostly non-English-speaking students finds that available large language models poorly address its local linguistic and cultural context. What do researchers recommend exploring to address this?</t>
        </is>
      </c>
      <c r="G87" s="5" t="inlineStr">
        <is>
          <t>Given the limitations of existing LLMs in addressing local linguistic and cultural contexts, future research should explore strategies for localizing AI models to better reflect diverse educational needs.</t>
        </is>
      </c>
      <c r="H87" s="5" t="inlineStr">
        <is>
          <t>Given the limitations of existing LLMs in addressing local linguistic and cultural contexts, future research should explore strategies for localizing AI models to better reflect diverse educational needs.</t>
        </is>
      </c>
      <c r="I87" s="5" t="inlineStr">
        <is>
          <t>AI Roles and Responsibilities in Education, p. 437</t>
        </is>
      </c>
      <c r="J87" s="5" t="b">
        <v>0</v>
      </c>
      <c r="K87" s="5" t="b">
        <v>1</v>
      </c>
      <c r="L87" s="5" t="inlineStr">
        <is>
          <t>duplicate(answer cos=0.988 of ai-roles:0258:q2)</t>
        </is>
      </c>
      <c r="M87" s="5" t="inlineStr">
        <is>
          <t>application</t>
        </is>
      </c>
      <c r="N87" s="5" t="inlineStr">
        <is>
          <t>medium</t>
        </is>
      </c>
      <c r="O87" s="5" t="inlineStr">
        <is>
          <t>equity_accessibility</t>
        </is>
      </c>
      <c r="P87" s="5" t="n">
        <v>5</v>
      </c>
      <c r="Q87" s="5" t="n">
        <v>4</v>
      </c>
      <c r="R87" s="5" t="inlineStr">
        <is>
          <t>The answer is a verbatim restatement of the evidence. | The question describes a self-contained scenario. It does not refer to any unseen source, and LLM is a widely understood term. | value: Localizing AI models for linguistic and cultural fit is useful responsible-AI knowledge for higher education.</t>
        </is>
      </c>
      <c r="S87" s="5" t="inlineStr">
        <is>
          <t>An institution whose students mostly do not speak English finds that existing LLMs handle its local language and culture poorly; what do researchers recommend exploring?</t>
        </is>
      </c>
      <c r="T87" s="5" t="inlineStr">
        <is>
          <t>What future research direction is proposed when existing LLMs fall short in addressing a university's local linguistic and cultural contexts?</t>
        </is>
      </c>
      <c r="U87" s="5" t="inlineStr">
        <is>
          <t>full_v1</t>
        </is>
      </c>
      <c r="V87" s="5" t="inlineStr">
        <is>
          <t>ai-roles:0258:q4</t>
        </is>
      </c>
    </row>
    <row r="88">
      <c r="A88" s="5" t="n">
        <v>87</v>
      </c>
      <c r="B88" s="5" t="b">
        <v>0</v>
      </c>
      <c r="C88" s="6" t="n"/>
      <c r="D88" s="6" t="n"/>
      <c r="E88" s="5" t="n"/>
      <c r="F88" s="5" t="inlineStr">
        <is>
          <t>What is one approach to the challenge of interpreting complex AI models that involves neural networks?</t>
        </is>
      </c>
      <c r="G88" s="5" t="inlineStr">
        <is>
          <t>One approach is to develop tools and techniques that visualize the internal workings of neural networks, helping researchers understand how different parts of the network contribute to the overall decision-making process.</t>
        </is>
      </c>
      <c r="H88" s="5" t="inlineStr">
        <is>
          <t>One approach is to develop new tools and techniques that can help researchers and developers understand how AI models are making decisions. For example, some researchers are exploring ways to visualize the internal workings of neural networks, to help researchers understand how different parts of the network are contributing to the overall decision-making process [88].</t>
        </is>
      </c>
      <c r="I88" s="5" t="inlineStr">
        <is>
          <t>Towards Ethical and Socially Responsible Explainable AI, p. 102</t>
        </is>
      </c>
      <c r="J88" s="5" t="b">
        <v>1</v>
      </c>
      <c r="K88" s="5" t="b">
        <v>0</v>
      </c>
      <c r="L88" s="5" t="inlineStr"/>
      <c r="M88" s="5" t="inlineStr">
        <is>
          <t>factual</t>
        </is>
      </c>
      <c r="N88" s="5" t="inlineStr">
        <is>
          <t>easy</t>
        </is>
      </c>
      <c r="O88" s="5" t="inlineStr">
        <is>
          <t>procurement_technology</t>
        </is>
      </c>
      <c r="P88" s="5" t="n">
        <v>4</v>
      </c>
      <c r="Q88" s="5" t="n">
        <v>4</v>
      </c>
      <c r="R88" s="5" t="inlineStr">
        <is>
          <t>The answer closely restates the evidence, merging the general tool-development approach with the visualization example. It slightly reframes visualization as the approach itself rather than an example of one. | The question is self-contained and does not refer to any unseen source. | value: Interpretability through visualizing neural networks is useful explainable-AI knowledge.</t>
        </is>
      </c>
      <c r="S88" s="5" t="inlineStr">
        <is>
          <t>What tool-based approach is being explored to help understand how neural networks make decisions?</t>
        </is>
      </c>
      <c r="T88" s="5" t="inlineStr">
        <is>
          <t>Which approach for dealing with the difficulty of interpreting complex AI models makes use of neural networks?</t>
        </is>
      </c>
      <c r="U88" s="5" t="inlineStr">
        <is>
          <t>full_v1</t>
        </is>
      </c>
      <c r="V88" s="5" t="inlineStr">
        <is>
          <t>towards-ethical:0049:q2</t>
        </is>
      </c>
    </row>
    <row r="89">
      <c r="A89" s="5" t="n">
        <v>88</v>
      </c>
      <c r="B89" s="5" t="b">
        <v>1</v>
      </c>
      <c r="C89" s="6" t="n"/>
      <c r="D89" s="6" t="n"/>
      <c r="E89" s="5" t="n"/>
      <c r="F89" s="5" t="inlineStr">
        <is>
          <t>What practical guidance does the integrated TAM–TPB–SDT study of generative AI adoption offer universities?</t>
        </is>
      </c>
      <c r="G89" s="5" t="inlineStr">
        <is>
          <t>Universities should design AI-supported collaborative learning tasks that foster relatedness, invest in digital competence training that enables confident use, and grant students autonomy in how they integrate AI into their academic work.</t>
        </is>
      </c>
      <c r="H89" s="5" t="inlineStr">
        <is>
          <t>Practically, it provides actionable guidance for universities: design AI-supported collaborative learning tasks that foster relatedness, invest in digital competence training that enables confident use, and grant students' autonomy in how they integrate AI into their academic work.</t>
        </is>
      </c>
      <c r="I89" s="5" t="inlineStr">
        <is>
          <t>Modeling generative AI adoption in higher education: An integrated TAM–TPB–SDT framework with SEM validation, p. 12</t>
        </is>
      </c>
      <c r="J89" s="5" t="b">
        <v>1</v>
      </c>
      <c r="K89" s="5" t="b">
        <v>0</v>
      </c>
      <c r="L89" s="5" t="inlineStr"/>
      <c r="M89" s="5" t="inlineStr">
        <is>
          <t>explanation</t>
        </is>
      </c>
      <c r="N89" s="5" t="inlineStr">
        <is>
          <t>medium</t>
        </is>
      </c>
      <c r="O89" s="5" t="inlineStr">
        <is>
          <t>teaching_learning</t>
        </is>
      </c>
      <c r="P89" s="5" t="n">
        <v>5</v>
      </c>
      <c r="Q89" s="5" t="n">
        <v>4</v>
      </c>
      <c r="R89" s="5" t="inlineStr">
        <is>
          <t>The answer restates the three recommendations directly from the evidence with no added claims. | The question identifies the study by its content (an integrated TAM–TPB–SDT model of generative AI adoption). These are standard theory acronyms in the field, though spelling them out would be clearer. | value: Gives actionable institutional recommendations for supporting generative AI adoption in higher education.</t>
        </is>
      </c>
      <c r="S89" s="5" t="inlineStr">
        <is>
          <t>What actions does the TAM–TPB–SDT adoption study advise universities to take regarding student use of generative AI?</t>
        </is>
      </c>
      <c r="T89" s="5" t="inlineStr">
        <is>
          <t>Based on the integrated TAM–TPB–SDT model of generative AI adoption, what should universities do?</t>
        </is>
      </c>
      <c r="U89" s="5" t="inlineStr">
        <is>
          <t>full_v1</t>
        </is>
      </c>
      <c r="V89" s="5" t="inlineStr">
        <is>
          <t>modeling-generative-ai-adoption-in-higher:0025:q3</t>
        </is>
      </c>
    </row>
    <row r="90">
      <c r="A90" s="5" t="n">
        <v>89</v>
      </c>
      <c r="B90" s="5" t="b">
        <v>0</v>
      </c>
      <c r="C90" s="6" t="n"/>
      <c r="D90" s="6" t="n"/>
      <c r="E90" s="5" t="n"/>
      <c r="F90" s="5" t="inlineStr">
        <is>
          <t>How does lasso regression differ from ridge regression in its treatment of coefficient estimates?</t>
        </is>
      </c>
      <c r="G90" s="5" t="inlineStr">
        <is>
          <t>Ridge regression shrinks coefficient estimates toward zero. Lasso regression can set coefficients exactly to zero, which effectively performs feature selection.</t>
        </is>
      </c>
      <c r="H90" s="5" t="inlineStr">
        <is>
          <t>Unlike ridge regression, which shrinks coefficient estimates toward zero, lasso regression can set coefficients exactly to zero, effectively performing feature selection (Tibshirani, 1996).</t>
        </is>
      </c>
      <c r="I90" s="5" t="inlineStr">
        <is>
          <t>Leveraging Gen AI for Machine Learning Education in Public Health, p. 99</t>
        </is>
      </c>
      <c r="J90" s="5" t="b">
        <v>0</v>
      </c>
      <c r="K90" s="5" t="b">
        <v>0</v>
      </c>
      <c r="L90" s="5" t="inlineStr">
        <is>
          <t>low_value(2)</t>
        </is>
      </c>
      <c r="M90" s="5" t="inlineStr">
        <is>
          <t>factual</t>
        </is>
      </c>
      <c r="N90" s="5" t="inlineStr">
        <is>
          <t>easy</t>
        </is>
      </c>
      <c r="O90" s="5" t="inlineStr">
        <is>
          <t>general</t>
        </is>
      </c>
      <c r="P90" s="5" t="n">
        <v>5</v>
      </c>
      <c r="Q90" s="5" t="n">
        <v>2</v>
      </c>
      <c r="R90" s="5" t="inlineStr">
        <is>
          <t>Both statements are directly stated in the evidence. | The question names well-known methods and does not rely on any unseen source. | value: This is general statistics or machine learning methodology, not responsible AI or AI in higher education.</t>
        </is>
      </c>
      <c r="S90" s="5" t="inlineStr">
        <is>
          <t>What can lasso regression do to coefficients that ridge regression cannot?</t>
        </is>
      </c>
      <c r="T90" s="5" t="inlineStr">
        <is>
          <t>In what way do lasso and ridge regression differ in how they handle coefficients?</t>
        </is>
      </c>
      <c r="U90" s="5" t="inlineStr">
        <is>
          <t>full_v1</t>
        </is>
      </c>
      <c r="V90" s="5" t="inlineStr">
        <is>
          <t>leveraging-genai:0045:q2</t>
        </is>
      </c>
    </row>
    <row r="91">
      <c r="A91" s="5" t="n">
        <v>90</v>
      </c>
      <c r="B91" s="5" t="b">
        <v>0</v>
      </c>
      <c r="C91" s="6" t="n"/>
      <c r="D91" s="6" t="n"/>
      <c r="E91" s="5" t="n"/>
      <c r="F91" s="5" t="inlineStr">
        <is>
          <t>In work-based higher education programs, what does the Instruction and Training dimension concern?</t>
        </is>
      </c>
      <c r="G91" s="5" t="inlineStr">
        <is>
          <t>The Instruction and Training dimension of WBHE programs focuses on how didactical knowledge and subject-level expertise are combined. This happens through the careful selection and integration of instructors with practical expertise and the organization of theory-focused and practice-oriented learning phases.</t>
        </is>
      </c>
      <c r="H91" s="5" t="inlineStr">
        <is>
          <t>The Instruction and Training dimension of WBHE programs focuses on how didactical knowledge and subject-level expertise are combined through the careful selection and integration of instructors with practical expertise and the organization of theory-focused and practice-oriented learning phases.</t>
        </is>
      </c>
      <c r="I91" s="5" t="inlineStr">
        <is>
          <t>Augmented Education in the Global Age: Artificial Intelligence and the Future of Learning and Work, p. 273</t>
        </is>
      </c>
      <c r="J91" s="5" t="b">
        <v>1</v>
      </c>
      <c r="K91" s="5" t="b">
        <v>0</v>
      </c>
      <c r="L91" s="5" t="inlineStr"/>
      <c r="M91" s="5" t="inlineStr">
        <is>
          <t>definition</t>
        </is>
      </c>
      <c r="N91" s="5" t="inlineStr">
        <is>
          <t>medium</t>
        </is>
      </c>
      <c r="O91" s="5" t="inlineStr">
        <is>
          <t>teaching_learning</t>
        </is>
      </c>
      <c r="P91" s="5" t="n">
        <v>5</v>
      </c>
      <c r="Q91" s="5" t="n">
        <v>3</v>
      </c>
      <c r="R91" s="5" t="inlineStr">
        <is>
          <t>The answer restates the evidence almost verbatim, only splitting it into two sentences. | The question names the program type and the dimension explicitly and relies on no unseen context. | value: This is a narrow framework definition from work-based higher education with only tangential relevance to AI.</t>
        </is>
      </c>
      <c r="S91" s="5" t="inlineStr">
        <is>
          <t>What is the focus of the Instruction and Training dimension of work-based higher education (WBHE) programs?</t>
        </is>
      </c>
      <c r="T91" s="5" t="inlineStr">
        <is>
          <t>How is the Instruction and Training dimension defined for work-based higher education programs?</t>
        </is>
      </c>
      <c r="U91" s="5" t="inlineStr">
        <is>
          <t>full_v1</t>
        </is>
      </c>
      <c r="V91" s="5" t="inlineStr">
        <is>
          <t>daniel-araya-peter-2023-augmented-education-in:0154:q1</t>
        </is>
      </c>
    </row>
    <row r="92">
      <c r="A92" s="5" t="n">
        <v>91</v>
      </c>
      <c r="B92" s="5" t="b">
        <v>0</v>
      </c>
      <c r="C92" s="6" t="n"/>
      <c r="D92" s="6" t="n"/>
      <c r="E92" s="5" t="n"/>
      <c r="F92" s="5" t="inlineStr">
        <is>
          <t>Why does identifying at-risk high school students earlier matter for schools?</t>
        </is>
      </c>
      <c r="G92" s="5" t="inlineStr">
        <is>
          <t>The earlier schools can identify at-risk students, the earlier they can provide targeted support and interventions. This in turn would ultimately improve student engagement.</t>
        </is>
      </c>
      <c r="H92" s="5" t="inlineStr">
        <is>
          <t>The earlier schools can identify at-risk students, the earlier they can provide targeted support and interventions. This, in turn, would ultimately improve student engagement.</t>
        </is>
      </c>
      <c r="I92" s="5" t="inlineStr">
        <is>
          <t>Artificial Intelligence in Education. Posters and Late Breaking Results, Workshops and Tutorials, Industry and Innovation Tracks, Practitioners, Doctoral Consortium and Blue Sky, p. 378</t>
        </is>
      </c>
      <c r="J92" s="5" t="b">
        <v>1</v>
      </c>
      <c r="K92" s="5" t="b">
        <v>0</v>
      </c>
      <c r="L92" s="5" t="inlineStr"/>
      <c r="M92" s="5" t="inlineStr">
        <is>
          <t>explanation</t>
        </is>
      </c>
      <c r="N92" s="5" t="inlineStr">
        <is>
          <t>medium</t>
        </is>
      </c>
      <c r="O92" s="5" t="inlineStr">
        <is>
          <t>teaching_learning</t>
        </is>
      </c>
      <c r="P92" s="5" t="n">
        <v>5</v>
      </c>
      <c r="Q92" s="5" t="n">
        <v>3</v>
      </c>
      <c r="R92" s="5" t="inlineStr">
        <is>
          <t>The answer restates the evidence almost verbatim. It adds no unsupported claims. | The question is self-contained and does not reference an unseen source. | value: This is a reasonable but narrow and fairly generic point about early-warning identification, set in a high-school rather than higher-education context.</t>
        </is>
      </c>
      <c r="S92" s="5" t="inlineStr">
        <is>
          <t>For high schools, what makes it important to spot students who are at risk at an earlier point?</t>
        </is>
      </c>
      <c r="T92" s="5" t="inlineStr">
        <is>
          <t>Why should high schools care about detecting at-risk students earlier?</t>
        </is>
      </c>
      <c r="U92" s="5" t="inlineStr">
        <is>
          <t>full_v1</t>
        </is>
      </c>
      <c r="V92" s="5" t="inlineStr">
        <is>
          <t>artificial-intelligence-bceaf5:0262:q1</t>
        </is>
      </c>
    </row>
    <row r="93">
      <c r="A93" s="5" t="n">
        <v>92</v>
      </c>
      <c r="B93" s="5" t="b">
        <v>0</v>
      </c>
      <c r="C93" s="6" t="n"/>
      <c r="D93" s="6" t="n"/>
      <c r="E93" s="5" t="n"/>
      <c r="F93" s="5" t="inlineStr">
        <is>
          <t>In the content validation of the AI Competence Scale, what is the Item-Level Content Validity Index used for and what threshold was set?</t>
        </is>
      </c>
      <c r="G93" s="5" t="inlineStr">
        <is>
          <t>Based on expert evaluations of clarity, alignment with the corresponding construct, and relevance for high school learners, the Item-Level Content Validity Index was calculated for each item. The minimum acceptable threshold was set at I-CVI ≥ 0.78.</t>
        </is>
      </c>
      <c r="H93" s="5" t="inlineStr">
        <is>
          <t>Experts assessed each item based on clarity, alignment with the corresponding construct, and relevance for high school learners. Based on their evaluations, the Item-Level Content Validity Index (I-CVI) was calculated for each item, with a minimum acceptable threshold set at I-CVI ≥ 0.78 (Lynn, 1986).</t>
        </is>
      </c>
      <c r="I93" s="5" t="inlineStr">
        <is>
          <t>Measuring students' AI competence: Development and validation of a multidimensional scale integrating educational psychology perspectives, p. 7</t>
        </is>
      </c>
      <c r="J93" s="5" t="b">
        <v>0</v>
      </c>
      <c r="K93" s="5" t="b">
        <v>0</v>
      </c>
      <c r="L93" s="5" t="inlineStr">
        <is>
          <t>low_value(2)</t>
        </is>
      </c>
      <c r="M93" s="5" t="inlineStr">
        <is>
          <t>definition</t>
        </is>
      </c>
      <c r="N93" s="5" t="inlineStr">
        <is>
          <t>medium</t>
        </is>
      </c>
      <c r="O93" s="5" t="inlineStr">
        <is>
          <t>monitoring_improvement</t>
        </is>
      </c>
      <c r="P93" s="5" t="n">
        <v>5</v>
      </c>
      <c r="Q93" s="5" t="n">
        <v>2</v>
      </c>
      <c r="R93" s="5" t="inlineStr">
        <is>
          <t>Every statement in the answer is taken directly from the evidence: the expert criteria, the per-item I-CVI calculation and the ≥ 0.78 threshold. | The question names the AI Competence Scale and the full index name, so it is understandable without seeing the source. | value: This is a research-methodology detail about scale validation, not core responsible-AI domain knowledge.</t>
        </is>
      </c>
      <c r="S93" s="5" t="inlineStr">
        <is>
          <t>How was the Item-Level Content Validity Index (I-CVI) used in validating the AI Competence Scale, and what minimum value was set?</t>
        </is>
      </c>
      <c r="T93" s="5" t="inlineStr">
        <is>
          <t>What role did the I-CVI play in the AI Competence Scale's content validation, and what was the minimum acceptable value?</t>
        </is>
      </c>
      <c r="U93" s="5" t="inlineStr">
        <is>
          <t>full_v1</t>
        </is>
      </c>
      <c r="V93" s="5" t="inlineStr">
        <is>
          <t>measuring-students-ai-competence-development:0013:q3</t>
        </is>
      </c>
    </row>
    <row r="94">
      <c r="A94" s="5" t="n">
        <v>93</v>
      </c>
      <c r="B94" s="5" t="b">
        <v>0</v>
      </c>
      <c r="C94" s="6" t="n"/>
      <c r="D94" s="6" t="n"/>
      <c r="E94" s="5" t="n"/>
      <c r="F94" s="5" t="inlineStr">
        <is>
          <t>What safeguards does the UNHCR's 2015 policy on personal data protection set out for handling personal data?</t>
        </is>
      </c>
      <c r="G94" s="5" t="inlineStr">
        <is>
          <t>Section 2.1 of the UNHCR policy stands for principles such as confidentiality, security, accountability, and supervision. Section 3.1 clarifies that the data subject must be informed if their data will be transferred to third parties.</t>
        </is>
      </c>
      <c r="H94" s="5" t="inlineStr">
        <is>
          <t>Section 2.1 for example, stands for a series of principles such as confidentiality, security, accountability, and supervision. Section 3.1 also clarifies that the data subject must be informed if their data will be transferred to third parties.</t>
        </is>
      </c>
      <c r="I94" s="5" t="inlineStr">
        <is>
          <t>Ethical and Legal Dilemmas of Artificial Intelligence in Latin America, p. 142</t>
        </is>
      </c>
      <c r="J94" s="5" t="b">
        <v>1</v>
      </c>
      <c r="K94" s="5" t="b">
        <v>0</v>
      </c>
      <c r="L94" s="5" t="inlineStr"/>
      <c r="M94" s="5" t="inlineStr">
        <is>
          <t>explanation</t>
        </is>
      </c>
      <c r="N94" s="5" t="inlineStr">
        <is>
          <t>medium</t>
        </is>
      </c>
      <c r="O94" s="5" t="inlineStr">
        <is>
          <t>privacy_security</t>
        </is>
      </c>
      <c r="P94" s="5" t="n">
        <v>4</v>
      </c>
      <c r="Q94" s="5" t="n">
        <v>3</v>
      </c>
      <c r="R94" s="5" t="inlineStr">
        <is>
          <t>The answer closely restates the evidence. However, the excerpt never names the policy as UNHCR's 2015 policy, so that attribution relies on unquoted context. | The question names a specific organization's policy and year, and contains no references to an unseen source. | value: Data protection principles are relevant to responsible data handling, but this is a narrow, humanitarian-sector policy detail rather than core higher-education AI knowledge.</t>
        </is>
      </c>
      <c r="S94" s="5" t="inlineStr">
        <is>
          <t>Which safeguards are contained in the UNHCR's 2015 personal data protection policy?</t>
        </is>
      </c>
      <c r="T94" s="5" t="inlineStr">
        <is>
          <t>Which safeguards for handling personal data are laid out in the 2015 UNHCR policy on the protection of personal data?</t>
        </is>
      </c>
      <c r="U94" s="5" t="inlineStr">
        <is>
          <t>full_v1</t>
        </is>
      </c>
      <c r="V94" s="5" t="inlineStr">
        <is>
          <t>ethical-and-legal-dilemmas:0059:q4</t>
        </is>
      </c>
    </row>
    <row r="95">
      <c r="A95" s="5" t="n">
        <v>94</v>
      </c>
      <c r="B95" s="5" t="b">
        <v>0</v>
      </c>
      <c r="C95" s="6" t="n"/>
      <c r="D95" s="6" t="n"/>
      <c r="E95" s="5" t="n"/>
      <c r="F95" s="5" t="inlineStr">
        <is>
          <t>What does the Ethics of AI dimension of the AI Competence Scale (AICS) assess in students?</t>
        </is>
      </c>
      <c r="G95" s="5" t="inlineStr">
        <is>
          <t>The Ethics of AI dimension assesses students' awareness regarding ethical considerations, responsible AI use, and societal implications.</t>
        </is>
      </c>
      <c r="H95" s="5" t="inlineStr">
        <is>
          <t>Items under Ethics of AI assessed students' awareness regarding ethical considerations, responsible AI use, and societal implications.</t>
        </is>
      </c>
      <c r="I95" s="5" t="inlineStr">
        <is>
          <t>Measuring students' AI competence: Development and validation of a multidimensional scale integrating educational psychology perspectives, p. 8</t>
        </is>
      </c>
      <c r="J95" s="5" t="b">
        <v>1</v>
      </c>
      <c r="K95" s="5" t="b">
        <v>0</v>
      </c>
      <c r="L95" s="5" t="inlineStr"/>
      <c r="M95" s="5" t="inlineStr">
        <is>
          <t>factual</t>
        </is>
      </c>
      <c r="N95" s="5" t="inlineStr">
        <is>
          <t>easy</t>
        </is>
      </c>
      <c r="O95" s="5" t="inlineStr">
        <is>
          <t>student_ai_literacy</t>
        </is>
      </c>
      <c r="P95" s="5" t="n">
        <v>5</v>
      </c>
      <c r="Q95" s="5" t="n">
        <v>3</v>
      </c>
      <c r="R95" s="5" t="inlineStr">
        <is>
          <t>The answer restates the evidence almost verbatim, with no added claims. | The question names the scale in full alongside its acronym and clearly identifies the dimension being asked about. | value: Knowing what one dimension of a specific competence scale covers is acceptable but narrow.</t>
        </is>
      </c>
      <c r="S95" s="5" t="inlineStr">
        <is>
          <t>What do the items under the Ethics of AI dimension of the AI Competence Scale measure?</t>
        </is>
      </c>
      <c r="T95" s="5" t="inlineStr">
        <is>
          <t>What is measured by the Ethics of AI dimension of the AI Competence Scale (AICS) when it is applied to students?</t>
        </is>
      </c>
      <c r="U95" s="5" t="inlineStr">
        <is>
          <t>full_v1</t>
        </is>
      </c>
      <c r="V95" s="5" t="inlineStr">
        <is>
          <t>measuring-students-ai-competence-development:0015:q1</t>
        </is>
      </c>
    </row>
    <row r="96">
      <c r="A96" s="5" t="n">
        <v>95</v>
      </c>
      <c r="B96" s="5" t="b">
        <v>0</v>
      </c>
      <c r="C96" s="6" t="n"/>
      <c r="D96" s="6" t="n"/>
      <c r="E96" s="5" t="n"/>
      <c r="F96" s="5" t="inlineStr">
        <is>
          <t>What is the GRIT Framework in the context of human error in cybersecurity?</t>
        </is>
      </c>
      <c r="G96" s="5" t="inlineStr">
        <is>
          <t>The GRIT Framework is a structured model for mapping human error progression and linking it to targeted mitigation strategies.</t>
        </is>
      </c>
      <c r="H96" s="5" t="inlineStr">
        <is>
          <t>This paper introduced the GRIT Framework as a structured model for mapping human error progression and linking it to targeted mitigation strategies.</t>
        </is>
      </c>
      <c r="I96" s="5" t="inlineStr">
        <is>
          <t>AI and Digital Transformation: Opportunities, Challenges, and Emerging Threats in Technology, Business, and Security, p. 598</t>
        </is>
      </c>
      <c r="J96" s="5" t="b">
        <v>1</v>
      </c>
      <c r="K96" s="5" t="b">
        <v>0</v>
      </c>
      <c r="L96" s="5" t="inlineStr"/>
      <c r="M96" s="5" t="inlineStr">
        <is>
          <t>definition</t>
        </is>
      </c>
      <c r="N96" s="5" t="inlineStr">
        <is>
          <t>easy</t>
        </is>
      </c>
      <c r="O96" s="5" t="inlineStr">
        <is>
          <t>governance</t>
        </is>
      </c>
      <c r="P96" s="5" t="n">
        <v>5</v>
      </c>
      <c r="Q96" s="5" t="n">
        <v>3</v>
      </c>
      <c r="R96" s="5" t="inlineStr">
        <is>
          <t>The answer restates the evidence's description of the GRIT Framework almost verbatim. | The question names the framework by name and gives its context, with no reference to an unseen source. | value: A narrow definitional item on cybersecurity human error, only tangentially related to responsible AI in higher education.</t>
        </is>
      </c>
      <c r="S96" s="5" t="inlineStr">
        <is>
          <t>How is the GRIT Framework defined with respect to human error in cybersecurity?</t>
        </is>
      </c>
      <c r="T96" s="5" t="inlineStr">
        <is>
          <t>How is the GRIT Framework defined with respect to human error in cybersecurity?</t>
        </is>
      </c>
      <c r="U96" s="5" t="inlineStr">
        <is>
          <t>full_v1</t>
        </is>
      </c>
      <c r="V96" s="5" t="inlineStr">
        <is>
          <t>ai-and-digital-transformation:0348:q2</t>
        </is>
      </c>
    </row>
    <row r="97">
      <c r="A97" s="5" t="n">
        <v>96</v>
      </c>
      <c r="B97" s="5" t="b">
        <v>0</v>
      </c>
      <c r="C97" s="6" t="n"/>
      <c r="D97" s="6" t="n"/>
      <c r="E97" s="5" t="n"/>
      <c r="F97" s="5" t="inlineStr">
        <is>
          <t>Why does the flexibility principle of data card design call for describing many kinds of datasets?</t>
        </is>
      </c>
      <c r="G97" s="5" t="inlineStr">
        <is>
          <t>The flexibility principle holds that a data card should describe a wide range of datasets. These include static datasets, datasets actively curated from single or multiple sources, and those with multiple modalities that are used in an algorithm.</t>
        </is>
      </c>
      <c r="H97" s="5" t="inlineStr">
        <is>
          <t>Flexibility: A data card should describe a wide range of datasets such as static datasets, datasets that are actively being curated from single or multiple sources, or those with multiple modalities that are used in an algorithm.</t>
        </is>
      </c>
      <c r="I97" s="5" t="inlineStr">
        <is>
          <t>Building Responsible AI Algorithms, p. 116</t>
        </is>
      </c>
      <c r="J97" s="5" t="b">
        <v>0</v>
      </c>
      <c r="K97" s="5" t="b">
        <v>0</v>
      </c>
      <c r="L97" s="5" t="inlineStr">
        <is>
          <t>duplicate(answer cos=0.930 of building-responsible-ai:0050:q3)</t>
        </is>
      </c>
      <c r="M97" s="5" t="inlineStr">
        <is>
          <t>explanation</t>
        </is>
      </c>
      <c r="N97" s="5" t="inlineStr">
        <is>
          <t>medium</t>
        </is>
      </c>
      <c r="O97" s="5" t="inlineStr">
        <is>
          <t>general</t>
        </is>
      </c>
      <c r="P97" s="5" t="n">
        <v>5</v>
      </c>
      <c r="Q97" s="5" t="n">
        <v>3</v>
      </c>
      <c r="R97" s="5" t="inlineStr">
        <is>
          <t>The answer restates the evidence's description of the flexibility principle and its examples of dataset types nearly verbatim. | The question names the flexibility principle of data card design by its content and relies on no unseen context. | value: Data card principles are relevant to responsible AI, but the answer says what the principle requires rather than why, so it does not truly answer the question.</t>
        </is>
      </c>
      <c r="S97" s="5" t="inlineStr">
        <is>
          <t>What is the reason behind the flexibility principle of data card design requiring that many different kinds of datasets can be described?</t>
        </is>
      </c>
      <c r="T97" s="5" t="inlineStr">
        <is>
          <t>Why is it that, under the flexibility principle of data card design, data cards need to accommodate descriptions of a wide variety of datasets?</t>
        </is>
      </c>
      <c r="U97" s="5" t="inlineStr">
        <is>
          <t>full_v1</t>
        </is>
      </c>
      <c r="V97" s="5" t="inlineStr">
        <is>
          <t>building-responsible-ai:0050:q4</t>
        </is>
      </c>
    </row>
    <row r="98">
      <c r="A98" s="5" t="n">
        <v>97</v>
      </c>
      <c r="B98" s="5" t="b">
        <v>0</v>
      </c>
      <c r="C98" s="6" t="n"/>
      <c r="D98" s="6" t="n"/>
      <c r="E98" s="5" t="n"/>
      <c r="F98" s="5" t="inlineStr">
        <is>
          <t>What share of the world's population owned a smartphone in 2020, compared with 2016?</t>
        </is>
      </c>
      <c r="G98" s="5" t="inlineStr">
        <is>
          <t>In 2020, 78% of the world's population owned a smartphone, whereas in 2016 it was less than half.</t>
        </is>
      </c>
      <c r="H98" s="5" t="inlineStr">
        <is>
          <t>According to Statista, in 2020, 78% of the world's population owned a smartphone; in 2016, it was less than half (Statista Mobiles, 2019). Here, we see a much more rapid and broader adoption of smartphones by people across the socio-economic landscape.</t>
        </is>
      </c>
      <c r="I98" s="5" t="inlineStr">
        <is>
          <t>Generative AI in Higher Education: The ChatGPT Effect, p. 268</t>
        </is>
      </c>
      <c r="J98" s="5" t="b">
        <v>0</v>
      </c>
      <c r="K98" s="5" t="b">
        <v>0</v>
      </c>
      <c r="L98" s="5" t="inlineStr">
        <is>
          <t>low_value(2)</t>
        </is>
      </c>
      <c r="M98" s="5" t="inlineStr">
        <is>
          <t>factual</t>
        </is>
      </c>
      <c r="N98" s="5" t="inlineStr">
        <is>
          <t>easy</t>
        </is>
      </c>
      <c r="O98" s="5" t="inlineStr">
        <is>
          <t>general</t>
        </is>
      </c>
      <c r="P98" s="5" t="n">
        <v>5</v>
      </c>
      <c r="Q98" s="5" t="n">
        <v>2</v>
      </c>
      <c r="R98" s="5" t="inlineStr">
        <is>
          <t>Both figures (78% in 2020, less than half in 2016) are directly stated in the evidence. | The question is self-contained and refers to no unseen source. | value: This is a narrow statistic about smartphone adoption, only tangentially related to AI in higher education.</t>
        </is>
      </c>
      <c r="S98" s="5" t="inlineStr">
        <is>
          <t>In 2020, what percentage of people worldwide owned a smartphone, and how did that compare to 2016?</t>
        </is>
      </c>
      <c r="T98" s="5" t="inlineStr">
        <is>
          <t>How did worldwide smartphone ownership in 2020 compare with ownership in 2016?</t>
        </is>
      </c>
      <c r="U98" s="5" t="inlineStr">
        <is>
          <t>full_v1</t>
        </is>
      </c>
      <c r="V98" s="5" t="inlineStr">
        <is>
          <t>cecilia-ka-yuk-chan-2024-generative-ai-in:0189:q0</t>
        </is>
      </c>
    </row>
    <row r="99">
      <c r="A99" s="5" t="n">
        <v>98</v>
      </c>
      <c r="B99" s="5" t="b">
        <v>1</v>
      </c>
      <c r="C99" s="6" t="n"/>
      <c r="D99" s="6" t="n"/>
      <c r="E99" s="5" t="n"/>
      <c r="F99" s="5" t="inlineStr">
        <is>
          <t>Why must narratives of innovation not obscure the challenges of deploying generative AI in adult and lifelong learning?</t>
        </is>
      </c>
      <c r="G99" s="5" t="inlineStr">
        <is>
          <t>GenAI's affordances of personalization, adaptivity, and scalability resonate with the principles of adult and lifelong learning. However, its deployment is deeply entangled with ethical, epistemic, and infrastructural challenges that must not be obscured by narratives of innovation.</t>
        </is>
      </c>
      <c r="H99" s="5" t="inlineStr">
        <is>
          <t>While its affordances-personalization, adaptivity, scalability-resonate with the principles of adult and lifelong learning, its deployment is deeply entangled with ethical, epistemic, and infrastructural challenges that must not be obscured by narratives of innovation.</t>
        </is>
      </c>
      <c r="I99" s="5" t="inlineStr">
        <is>
          <t>Innovative Educational Assessment with Generative AI: Opportunities, Challenges, and Practical Case Studies, p. 31</t>
        </is>
      </c>
      <c r="J99" s="5" t="b">
        <v>1</v>
      </c>
      <c r="K99" s="5" t="b">
        <v>0</v>
      </c>
      <c r="L99" s="5" t="inlineStr"/>
      <c r="M99" s="5" t="inlineStr">
        <is>
          <t>explanation</t>
        </is>
      </c>
      <c r="N99" s="5" t="inlineStr">
        <is>
          <t>medium</t>
        </is>
      </c>
      <c r="O99" s="5" t="inlineStr">
        <is>
          <t>general</t>
        </is>
      </c>
      <c r="P99" s="5" t="n">
        <v>5</v>
      </c>
      <c r="Q99" s="5" t="n">
        <v>3</v>
      </c>
      <c r="R99" s="5" t="inlineStr">
        <is>
          <t>The answer closely restates the single evidence sentence and adds no extra claims. | The question names generative AI and adult and lifelong learning explicitly and does not refer to any unseen source. | value: It gives a relevant but thin point: deployment involves ethical, epistemic and infrastructural challenges.</t>
        </is>
      </c>
      <c r="S99" s="5" t="inlineStr">
        <is>
          <t>Although generative AI's personalization, adaptivity and scalability resonate with adult learning principles, why should innovation narratives not obscure its deployment issues?</t>
        </is>
      </c>
      <c r="T99" s="5" t="inlineStr">
        <is>
          <t>For what reason should stories of innovation not hide the difficulties of using generative AI in adult and lifelong learning?</t>
        </is>
      </c>
      <c r="U99" s="5" t="inlineStr">
        <is>
          <t>full_v1</t>
        </is>
      </c>
      <c r="V99" s="5" t="inlineStr">
        <is>
          <t>innovative-educational:0014:q4</t>
        </is>
      </c>
    </row>
    <row r="100">
      <c r="A100" s="5" t="n">
        <v>99</v>
      </c>
      <c r="B100" s="5" t="b">
        <v>0</v>
      </c>
      <c r="C100" s="6" t="n"/>
      <c r="D100" s="6" t="n"/>
      <c r="E100" s="5" t="n"/>
      <c r="F100" s="5" t="inlineStr">
        <is>
          <t>Brazil's national textbook program (the Programa Nacional do Livro e do Material Didático) finds that evaluators spend much time spotting spelling and grammatical errors, with publishers and reviewers repeatedly involved in corrections. What did preliminary analyses of its recent pedagogical evaluations find about how large this problem is and what consequences it has?</t>
        </is>
      </c>
      <c r="G100" s="5" t="inlineStr">
        <is>
          <t>Preliminary analyses of data from recent pedagogical evaluations revealed that nearly 30% (83,909) of specific failures were spelling and grammatical errors. These errors demand significant evaluator time for identification and correction, involving publishers in revision and reviewers in validating the corrections. The need for multiple interventions prolongs the time required to complete the evaluations and increases the associated costs.</t>
        </is>
      </c>
      <c r="H100" s="5" t="inlineStr">
        <is>
          <t>Preliminary analyses of data from recent pedagogical evaluations reveal that nearly 30% (83,909) of specific failures correspond to spelling and grammatical errors, as shown in Fig. 1. … These types of errors demand significant time from evaluators for identification and correction, involving publishers in the revision process and reviewers in validating the corrections. The need for multiple interventions not only prolongs the time required to complete the evaluations but also increases the associated costs.</t>
        </is>
      </c>
      <c r="I100" s="5" t="inlineStr">
        <is>
          <t>Artificial Intelligence in Education. Posters and Late Breaking Results, Workshops and Tutorials, Industry and Innovation Tracks, Practitioners, Doctoral Consortium and Blue Sky, p. 456</t>
        </is>
      </c>
      <c r="J100" s="5" t="b">
        <v>0</v>
      </c>
      <c r="K100" s="5" t="b">
        <v>1</v>
      </c>
      <c r="L100" s="5" t="inlineStr">
        <is>
          <t>low_value(2)</t>
        </is>
      </c>
      <c r="M100" s="5" t="inlineStr">
        <is>
          <t>application</t>
        </is>
      </c>
      <c r="N100" s="5" t="inlineStr">
        <is>
          <t>hard</t>
        </is>
      </c>
      <c r="O100" s="5" t="inlineStr">
        <is>
          <t>assessment</t>
        </is>
      </c>
      <c r="P100" s="5" t="n">
        <v>5</v>
      </c>
      <c r="Q100" s="5" t="n">
        <v>2</v>
      </c>
      <c r="R100" s="5" t="inlineStr">
        <is>
          <t>Every statement (the nearly 30% / 83,909 figure, evaluator time, publisher and reviewer involvement, prolonged evaluations and increased costs) is directly stated in the evidence. | The question names the specific Brazilian program and needs no unseen context to understand. | value: This is a narrow statistic about textbook error rates, with no direct connection to AI or higher education.</t>
        </is>
      </c>
      <c r="S100" s="5" t="inlineStr">
        <is>
          <t>In Brazil's national textbook program (the Programa Nacional do Livro e do Material Didático), evaluators devote lots of time to spelling and grammatical errors, repeatedly drawing in publishers and reviewers. What did preliminary analyses of recent pedagogical evaluations show about the scale and effects of these errors?</t>
        </is>
      </c>
      <c r="T100" s="5" t="inlineStr">
        <is>
          <t>Brazil's national textbook program (the Programa Nacional do Livro e do Material Didático) sees evaluators spend significant time on spelling and grammar errors that involve publishers and reviewers again and again. How big was this problem in preliminary analyses of recent pedagogical evaluations, and what did it cause?</t>
        </is>
      </c>
      <c r="U100" s="5" t="inlineStr">
        <is>
          <t>full_v1</t>
        </is>
      </c>
      <c r="V100" s="5" t="inlineStr">
        <is>
          <t>artificial-intelligence-bceaf5:0307:q1</t>
        </is>
      </c>
    </row>
    <row r="101">
      <c r="A101" s="5" t="n">
        <v>100</v>
      </c>
      <c r="B101" s="5" t="b">
        <v>0</v>
      </c>
      <c r="C101" s="6" t="n"/>
      <c r="D101" s="6" t="n"/>
      <c r="E101" s="5" t="n"/>
      <c r="F101" s="5" t="inlineStr">
        <is>
          <t>How does generative AI's knowledge generation differ from human-generated knowledge, and how is the two said to relate?</t>
        </is>
      </c>
      <c r="G101" s="5" t="inlineStr">
        <is>
          <t>Generative AI demonstrates a form of knowledge generation, but it is not knowledge in the academic or scientific sense. It is knowledge based on synthesis and analysis of a vast array of data to elucidate, if not resolve, new questions and problems. It can be argued that AI-generated knowledge is often complementary and not exclusive to human-generated knowledge, while human-generated knowledge, especially creative knowledge, would be in the upper echelons of a hierarchy of knowledge types.</t>
        </is>
      </c>
      <c r="H101" s="5" t="inlineStr">
        <is>
          <t>ChatGPT says generative AI demonstrates "a form of knowledge generation", but it is not knowledge in the "academic or scientific sense". Rather, it is "knowledge" based on synthesis and analysis of a "vast array of data" to elucidate, if not resolve, new questions and problems. … It can be argued, of course, that if these different types of knowledge were to be organised into a kind of hierarchical structure, human-generated knowledge, especially creative knowledge, will be in the upper echelons. In a similar vein, it can be argued that AI-generated knowledge is often complementary and not exclusive to human-generated knowledge.</t>
        </is>
      </c>
      <c r="I101" s="5" t="inlineStr">
        <is>
          <t>Generative AI in Higher Education Innovation Strategies for Teaching and Learning, pp. 25-27</t>
        </is>
      </c>
      <c r="J101" s="5" t="b">
        <v>0</v>
      </c>
      <c r="K101" s="5" t="b">
        <v>1</v>
      </c>
      <c r="L101" s="5" t="inlineStr">
        <is>
          <t>not_standalone(judge);garbled_question</t>
        </is>
      </c>
      <c r="M101" s="5" t="inlineStr">
        <is>
          <t>explanation</t>
        </is>
      </c>
      <c r="N101" s="5" t="inlineStr">
        <is>
          <t>medium</t>
        </is>
      </c>
      <c r="O101" s="5" t="inlineStr">
        <is>
          <t>teaching_learning</t>
        </is>
      </c>
      <c r="P101" s="5" t="n">
        <v>4</v>
      </c>
      <c r="Q101" s="5" t="n">
        <v>4</v>
      </c>
      <c r="R101" s="5" t="inlineStr">
        <is>
          <t>The answer closely restates the evidence. However, it presents ChatGPT's characterization as fact and drops the conditional framing of the hierarchy claim ("if these different types of knowledge were to be organised"). | "how is the two said to relate" presupposes a source making the claim. | value: Useful conceptual distinction about AI-generated versus human knowledge relevant to higher education.</t>
        </is>
      </c>
      <c r="S101" s="5" t="inlineStr">
        <is>
          <t>In what way does the knowledge produced by generative AI differ from human-generated knowledge, and how are the two said to relate?</t>
        </is>
      </c>
      <c r="T101" s="5" t="inlineStr">
        <is>
          <t>What distinguishes generative AI's knowledge generation from human knowledge, and what relationship between them can be argued?</t>
        </is>
      </c>
      <c r="U101" s="5" t="inlineStr">
        <is>
          <t>full_v1</t>
        </is>
      </c>
      <c r="V101" s="5" t="inlineStr">
        <is>
          <t>generative-ai-in-higher-education-64e6b1:0006:q1</t>
        </is>
      </c>
    </row>
    <row r="102">
      <c r="A102" s="5" t="n">
        <v>101</v>
      </c>
      <c r="B102" s="5" t="b">
        <v>0</v>
      </c>
      <c r="C102" s="6" t="n"/>
      <c r="D102" s="6" t="n"/>
      <c r="E102" s="5" t="n"/>
      <c r="F102" s="5" t="inlineStr">
        <is>
          <t>Why does it matter to communicate an ML model's performance and accuracy clearly, concisely and simply?</t>
        </is>
      </c>
      <c r="G102" s="5" t="inlineStr">
        <is>
          <t>Clear, concise and simple communication of performance and accuracy addresses transparency, which is an important Responsible AI principle. It could also help improve the trust index of consumers and users.</t>
        </is>
      </c>
      <c r="H102" s="5" t="inlineStr">
        <is>
          <t>This is important as it addresses "transparency" which is an important Responsible AI principle and could help improve the trust index of consumers and users.</t>
        </is>
      </c>
      <c r="I102" s="5" t="inlineStr">
        <is>
          <t>Responsible AI in Practice, p. 63</t>
        </is>
      </c>
      <c r="J102" s="5" t="b">
        <v>1</v>
      </c>
      <c r="K102" s="5" t="b">
        <v>0</v>
      </c>
      <c r="L102" s="5" t="inlineStr"/>
      <c r="M102" s="5" t="inlineStr">
        <is>
          <t>explanation</t>
        </is>
      </c>
      <c r="N102" s="5" t="inlineStr">
        <is>
          <t>medium</t>
        </is>
      </c>
      <c r="O102" s="5" t="inlineStr">
        <is>
          <t>governance</t>
        </is>
      </c>
      <c r="P102" s="5" t="n">
        <v>4</v>
      </c>
      <c r="Q102" s="5" t="n">
        <v>4</v>
      </c>
      <c r="R102" s="5" t="inlineStr">
        <is>
          <t>The answer restates the evidence: transparency as a Responsible AI principle and an improved trust index. However, the quote only says "this is important" without showing that "this" is clear communication of performance, so that link is assumed from context. | The question is self-contained. ML is a widely understood acronym. | value: It links model communication to transparency and trust, which is useful responsible AI knowledge.</t>
        </is>
      </c>
      <c r="S102" s="5" t="inlineStr">
        <is>
          <t>Why should the accuracy and performance of an ML model be communicated in a clear, concise and simple way?</t>
        </is>
      </c>
      <c r="T102" s="5" t="inlineStr">
        <is>
          <t>What is the importance of conveying how well an ML model performs and how accurate it is in a clear, concise and simple way?</t>
        </is>
      </c>
      <c r="U102" s="5" t="inlineStr">
        <is>
          <t>full_v1</t>
        </is>
      </c>
      <c r="V102" s="5" t="inlineStr">
        <is>
          <t>responsible-ai-in-practice:0026:q2</t>
        </is>
      </c>
    </row>
    <row r="103">
      <c r="A103" s="5" t="n">
        <v>102</v>
      </c>
      <c r="B103" s="5" t="b">
        <v>0</v>
      </c>
      <c r="C103" s="6" t="n"/>
      <c r="D103" s="6" t="n"/>
      <c r="E103" s="5" t="n"/>
      <c r="F103" s="5" t="inlineStr">
        <is>
          <t>To whom must an AI system's decisions be explainable for it to count as explainable, and does that have to be a layperson?</t>
        </is>
      </c>
      <c r="G103" s="5" t="inlineStr">
        <is>
          <t>Explainability must be to a human, though it need not be a layperson. Explainable to a subject-matter expert is fine. The expert can assure non-expert users and explain to them, in a less technical manner, why a machine made a decision.</t>
        </is>
      </c>
      <c r="H103" s="5" t="inlineStr">
        <is>
          <t>Explainable to whom? To a human. Although it's preferable if it's possible, this doesn't have to be a layperson. Explainable to a subject-matter expert (SME) is fine. The SME themselves can both assure non-expert users and explain to them why a machine made such a decision in a less technical manner.</t>
        </is>
      </c>
      <c r="I103" s="5" t="inlineStr">
        <is>
          <t>Responsible AI in the Enterprise, p. 34</t>
        </is>
      </c>
      <c r="J103" s="5" t="b">
        <v>1</v>
      </c>
      <c r="K103" s="5" t="b">
        <v>0</v>
      </c>
      <c r="L103" s="5" t="inlineStr"/>
      <c r="M103" s="5" t="inlineStr">
        <is>
          <t>definition</t>
        </is>
      </c>
      <c r="N103" s="5" t="inlineStr">
        <is>
          <t>medium</t>
        </is>
      </c>
      <c r="O103" s="5" t="inlineStr">
        <is>
          <t>general</t>
        </is>
      </c>
      <c r="P103" s="5" t="n">
        <v>4</v>
      </c>
      <c r="Q103" s="5" t="n">
        <v>4</v>
      </c>
      <c r="R103" s="5" t="inlineStr">
        <is>
          <t>The answer closely restates the evidence but omits the caveat that a layperson is preferable where possible; otherwise every statement is supported. | The question is clear and self-contained, and refers to no unseen source. | value: It is useful conceptual knowledge about the intended audience of AI explainability.</t>
        </is>
      </c>
      <c r="S103" s="5" t="inlineStr">
        <is>
          <t>Who must be able to understand an explanation of a machine's decision, and must this person be a layperson?</t>
        </is>
      </c>
      <c r="T103" s="5" t="inlineStr">
        <is>
          <t>In the notion of explainability, who is the explanation for, and is a layperson required?</t>
        </is>
      </c>
      <c r="U103" s="5" t="inlineStr">
        <is>
          <t>full_v1</t>
        </is>
      </c>
      <c r="V103" s="5" t="inlineStr">
        <is>
          <t>responsible-ai-in-the-enterprise-practical-ai:0022:q3</t>
        </is>
      </c>
    </row>
    <row r="104">
      <c r="A104" s="5" t="n">
        <v>103</v>
      </c>
      <c r="B104" s="5" t="b">
        <v>0</v>
      </c>
      <c r="C104" s="6" t="n"/>
      <c r="D104" s="6" t="n"/>
      <c r="E104" s="5" t="n"/>
      <c r="F104" s="5" t="inlineStr">
        <is>
          <t>Which competencies did Shet and Pereira (2021), drawing on the Resource-Based View, propose for the next generation of leaders?</t>
        </is>
      </c>
      <c r="G104" s="5" t="inlineStr">
        <is>
          <t>Shet and Pereira (2021) suggested agility, enterprise intelligence, commercial and technical architecture, business acumen, problem-solving, design thinking, data analytics, a collaborative mindset, disruptive leadership, sustainability, research orientation, proactive thinking, process automation and decision-making.</t>
        </is>
      </c>
      <c r="H104" s="5" t="inlineStr">
        <is>
          <t>With the theoretical base of Resource-Based View (RBV), Shet and Pereira (2021) suggested the desired competencies of agility, enterprise intelligence, commercial and technical architecture, business acumen, problemsolving, design thinking, data analytics, collaborative mindset, disruptive leadership, sustainability, research orientation, proactive thinking, process automation and decision-making for next generation of leadership.</t>
        </is>
      </c>
      <c r="I104" s="5" t="inlineStr">
        <is>
          <t>Leadership, Management and AI, p. 123</t>
        </is>
      </c>
      <c r="J104" s="5" t="b">
        <v>1</v>
      </c>
      <c r="K104" s="5" t="b">
        <v>0</v>
      </c>
      <c r="L104" s="5" t="inlineStr"/>
      <c r="M104" s="5" t="inlineStr">
        <is>
          <t>definition</t>
        </is>
      </c>
      <c r="N104" s="5" t="inlineStr">
        <is>
          <t>easy</t>
        </is>
      </c>
      <c r="O104" s="5" t="inlineStr">
        <is>
          <t>leadership_strategy</t>
        </is>
      </c>
      <c r="P104" s="5" t="n">
        <v>5</v>
      </c>
      <c r="Q104" s="5" t="n">
        <v>3</v>
      </c>
      <c r="R104" s="5" t="inlineStr">
        <is>
          <t>The answer lists exactly the competencies named in the evidence. Nothing is added. | The question names a specific study and framework by citation and content. It does not refer to any unseen text. | value: It is a narrow list of leadership competencies from a single study, tangential to AI in higher education.</t>
        </is>
      </c>
      <c r="S104" s="5" t="inlineStr">
        <is>
          <t>What leadership competencies for the next generation of leaders were suggested by Shet and Pereira (2021) using the Resource-Based View?</t>
        </is>
      </c>
      <c r="T104" s="5" t="inlineStr">
        <is>
          <t>According to Shet and Pereira (2021), who applied the Resource-Based View, which competencies should next-generation leaders have?</t>
        </is>
      </c>
      <c r="U104" s="5" t="inlineStr">
        <is>
          <t>full_v1</t>
        </is>
      </c>
      <c r="V104" s="5" t="inlineStr">
        <is>
          <t>leadership-management-and-ai:0061:q0</t>
        </is>
      </c>
    </row>
    <row r="105">
      <c r="A105" s="5" t="n">
        <v>104</v>
      </c>
      <c r="B105" s="5" t="b">
        <v>0</v>
      </c>
      <c r="C105" s="6" t="n"/>
      <c r="D105" s="6" t="n"/>
      <c r="E105" s="5" t="n"/>
      <c r="F105" s="5" t="inlineStr">
        <is>
          <t>What do survey results show about accounting faculty concern that AI tool usage may compromise their oversight of the learning process, and what is that concern rooted in?</t>
        </is>
      </c>
      <c r="G105" s="5" t="inlineStr">
        <is>
          <t>Survey results indicate that 82% of accounting faculty express concern that AI tool usage may compromise their oversight of the learning process. This apprehension is rooted in limitations of conventional evaluation systems.</t>
        </is>
      </c>
      <c r="H105" s="5" t="inlineStr">
        <is>
          <t>Survey results indicate that 82% of accounting faculty express concern that AI tool usage may compromise their oversight of the learning process, a apprehension rooted in limitations of conventional evaluation systems.</t>
        </is>
      </c>
      <c r="I105" s="5" t="inlineStr">
        <is>
          <t>Artificial Intelligence and Accounting Education: Policy, Practice and Research, p. 64</t>
        </is>
      </c>
      <c r="J105" s="5" t="b">
        <v>1</v>
      </c>
      <c r="K105" s="5" t="b">
        <v>1</v>
      </c>
      <c r="L105" s="5" t="inlineStr"/>
      <c r="M105" s="5" t="inlineStr">
        <is>
          <t>explanation</t>
        </is>
      </c>
      <c r="N105" s="5" t="inlineStr">
        <is>
          <t>medium</t>
        </is>
      </c>
      <c r="O105" s="5" t="inlineStr">
        <is>
          <t>faculty_readiness</t>
        </is>
      </c>
      <c r="P105" s="5" t="n">
        <v>5</v>
      </c>
      <c r="Q105" s="5" t="n">
        <v>4</v>
      </c>
      <c r="R105" s="5" t="inlineStr">
        <is>
          <t>Both statements, the 82% figure and the root in limitations of conventional evaluation systems, are directly stated in the evidence. | The question names its subject (accounting faculty survey results on AI oversight concerns) and does not rely on unseen source context. | value: This is a useful and somewhat specific finding about faculty concerns over AI and assessment in higher education.</t>
        </is>
      </c>
      <c r="S105" s="5" t="inlineStr">
        <is>
          <t>What share of accounting faculty worry that using AI tools may compromise their oversight of learning, and what underlies this worry?</t>
        </is>
      </c>
      <c r="T105" s="5" t="inlineStr">
        <is>
          <t>In survey results on accounting instructors, how many are concerned that AI tools may undermine their oversight of the learning process, and what is the source of that concern?</t>
        </is>
      </c>
      <c r="U105" s="5" t="inlineStr">
        <is>
          <t>full_v1</t>
        </is>
      </c>
      <c r="V105" s="5" t="inlineStr">
        <is>
          <t>artificial-intelligence-and-accounting-education:0031:q1</t>
        </is>
      </c>
    </row>
    <row r="106">
      <c r="A106" s="5" t="n">
        <v>105</v>
      </c>
      <c r="B106" s="5" t="b">
        <v>0</v>
      </c>
      <c r="C106" s="6" t="n"/>
      <c r="D106" s="6" t="n"/>
      <c r="E106" s="5" t="n"/>
      <c r="F106" s="5" t="inlineStr">
        <is>
          <t>Which AI tool stood out across every learning mode for interviewed business postgraduate students in UK higher education?</t>
        </is>
      </c>
      <c r="G106" s="5" t="inlineStr">
        <is>
          <t>The feedback system stood out across every learning mode. Participants felt that automated AI systems could provide feedback more quickly and consistently.</t>
        </is>
      </c>
      <c r="H106" s="5" t="inlineStr">
        <is>
          <t>One tool, however, stood out across every learning mode: the feedback system. Many participants pointed out that feedback is essential to their learning and that automated AI systems could help provide it more quickly and consistently. They felt that having instant access, personalised feedback helps them understand their progress and stay engaged, even when studying on their own.</t>
        </is>
      </c>
      <c r="I106" s="5" t="inlineStr">
        <is>
          <t>Artificial Intelligence and Higher Education: The Impact of AI on Business Students Learning, p. 83</t>
        </is>
      </c>
      <c r="J106" s="5" t="b">
        <v>1</v>
      </c>
      <c r="K106" s="5" t="b">
        <v>0</v>
      </c>
      <c r="L106" s="5" t="inlineStr"/>
      <c r="M106" s="5" t="inlineStr">
        <is>
          <t>factual</t>
        </is>
      </c>
      <c r="N106" s="5" t="inlineStr">
        <is>
          <t>easy</t>
        </is>
      </c>
      <c r="O106" s="5" t="inlineStr">
        <is>
          <t>teaching_learning</t>
        </is>
      </c>
      <c r="P106" s="5" t="n">
        <v>5</v>
      </c>
      <c r="Q106" s="5" t="n">
        <v>3</v>
      </c>
      <c r="R106" s="5" t="inlineStr">
        <is>
          <t>Both statements, that the feedback system stood out and that automated AI could provide feedback more quickly and consistently, are directly stated in the evidence. | The question names the population (interviewed UK business postgraduate students) and asks a clear question without referencing an unseen source. | value: It is a reasonable but narrow finding about students' perceptions of AI feedback tools in higher education.</t>
        </is>
      </c>
      <c r="S106" s="5" t="inlineStr">
        <is>
          <t>In interviews with UK business postgraduates, which AI tool was singled out as valuable across all learning modes?</t>
        </is>
      </c>
      <c r="T106" s="5" t="inlineStr">
        <is>
          <t>Which single AI tool did interviewed UK business postgraduate students identify as standing out in every learning mode?</t>
        </is>
      </c>
      <c r="U106" s="5" t="inlineStr">
        <is>
          <t>full_v1</t>
        </is>
      </c>
      <c r="V106" s="5" t="inlineStr">
        <is>
          <t>artificial-intelligence-and-higher-education:0043:q1</t>
        </is>
      </c>
    </row>
    <row r="107">
      <c r="A107" s="5" t="n">
        <v>106</v>
      </c>
      <c r="B107" s="5" t="b">
        <v>0</v>
      </c>
      <c r="C107" s="6" t="n"/>
      <c r="D107" s="6" t="n"/>
      <c r="E107" s="5" t="n"/>
      <c r="F107" s="5" t="inlineStr">
        <is>
          <t>Why is digital transformation in higher education institutions not an isolated process?</t>
        </is>
      </c>
      <c r="G107" s="5" t="inlineStr">
        <is>
          <t>Digital transformation in HEIs is the outcome of dynamic interactions among its dimensions. For instance, the overlap between technology and culture underscores the need for institutional adaptation and innovation alongside technological adoption.</t>
        </is>
      </c>
      <c r="H107" s="5" t="inlineStr">
        <is>
          <t>The intersections in Fig. 5 highlight the interdependencies between these dimensions, emphasizing that digital transformation in HEIs is not an isolated process, but rather the outcome of dynamic interactions [6]. For instance, the overlap between technology and culture underscores the need for institutional adaptation and innovation alongside technological adoption [62].</t>
        </is>
      </c>
      <c r="I107" s="5" t="inlineStr">
        <is>
          <t>Digital transformation in the management of higher education institutions, p. 10</t>
        </is>
      </c>
      <c r="J107" s="5" t="b">
        <v>1</v>
      </c>
      <c r="K107" s="5" t="b">
        <v>0</v>
      </c>
      <c r="L107" s="5" t="inlineStr"/>
      <c r="M107" s="5" t="inlineStr">
        <is>
          <t>explanation</t>
        </is>
      </c>
      <c r="N107" s="5" t="inlineStr">
        <is>
          <t>medium</t>
        </is>
      </c>
      <c r="O107" s="5" t="inlineStr">
        <is>
          <t>leadership_strategy</t>
        </is>
      </c>
      <c r="P107" s="5" t="n">
        <v>5</v>
      </c>
      <c r="Q107" s="5" t="n">
        <v>4</v>
      </c>
      <c r="R107" s="5" t="inlineStr">
        <is>
          <t>The answer directly restates the evidence: digital transformation results from dynamic interactions among dimensions, illustrated by the technology–culture overlap. | The question is clear without the source and uses no undefined references. | value: It conveys a useful conceptual point about the interdependent dimensions of digital transformation in higher education.</t>
        </is>
      </c>
      <c r="S107" s="5" t="inlineStr">
        <is>
          <t>What is the reason that digital transformation within higher education institutions cannot be treated as a process that stands alone?</t>
        </is>
      </c>
      <c r="T107" s="5" t="inlineStr">
        <is>
          <t>How come digital transformation at colleges and universities is not a self-contained, isolated process?</t>
        </is>
      </c>
      <c r="U107" s="5" t="inlineStr">
        <is>
          <t>full_v1</t>
        </is>
      </c>
      <c r="V107" s="5" t="inlineStr">
        <is>
          <t>digital-transformation-in-the-management-of:0011:q3</t>
        </is>
      </c>
    </row>
    <row r="108">
      <c r="A108" s="5" t="n">
        <v>107</v>
      </c>
      <c r="B108" s="5" t="b">
        <v>1</v>
      </c>
      <c r="C108" s="6" t="n"/>
      <c r="D108" s="6" t="n"/>
      <c r="E108" s="5" t="n"/>
      <c r="F108" s="5" t="inlineStr">
        <is>
          <t>What are the three types of AI-based systems in education in the taxonomy adapted from Holmes and Tuomi (2022), and what does learner-focused AI refer to?</t>
        </is>
      </c>
      <c r="G108" s="5" t="inlineStr">
        <is>
          <t>The adapted taxonomy distinguishes learner-focused AI, teacher-focused AI, and institution-focused AI. Learner-focused AI refers to applications that support individuals' learning by automatically assessing their learning to provide individualized feedback and instruction, possibly adapting this feedback and instruction to learners' individual needs.</t>
        </is>
      </c>
      <c r="H108" s="5" t="inlineStr">
        <is>
          <t>Relying on the (slightly adopted) taxonomy developed by Holmes and Tuomi (2022), we distinguish three types of AI-based systems: learner-focused AI, teacher-focused AI, and institution-focused AI. … Learner-focused AI refers to applications that support individuals' learning by automatically assessing their learning to provide individualized feedback and instruction, possibly even by adapting this feedback and instruction to learners' individual needs.</t>
        </is>
      </c>
      <c r="I108" s="5" t="inlineStr">
        <is>
          <t>AI Roles and Responsibilities in Education, p. 35</t>
        </is>
      </c>
      <c r="J108" s="5" t="b">
        <v>1</v>
      </c>
      <c r="K108" s="5" t="b">
        <v>0</v>
      </c>
      <c r="L108" s="5" t="inlineStr"/>
      <c r="M108" s="5" t="inlineStr">
        <is>
          <t>definition</t>
        </is>
      </c>
      <c r="N108" s="5" t="inlineStr">
        <is>
          <t>medium</t>
        </is>
      </c>
      <c r="O108" s="5" t="inlineStr">
        <is>
          <t>teaching_learning</t>
        </is>
      </c>
      <c r="P108" s="5" t="n">
        <v>5</v>
      </c>
      <c r="Q108" s="5" t="n">
        <v>4</v>
      </c>
      <c r="R108" s="5" t="inlineStr">
        <is>
          <t>Both the three types and the definition of learner-focused AI are stated directly in the evidence. | The question names the taxonomy by its authors and year and does not depend on unseen context. | value: It gives a useful taxonomy of AI in education along with a key definition.</t>
        </is>
      </c>
      <c r="S108" s="5" t="inlineStr">
        <is>
          <t>Which three types of educational AI systems does the slightly adapted Holmes and Tuomi (2022) taxonomy distinguish, and how is learner-focused AI defined?</t>
        </is>
      </c>
      <c r="T108" s="5" t="inlineStr">
        <is>
          <t>In the adapted Holmes and Tuomi (2022) taxonomy of educational AI, what are the three system types and what is meant by learner-focused AI?</t>
        </is>
      </c>
      <c r="U108" s="5" t="inlineStr">
        <is>
          <t>full_v1</t>
        </is>
      </c>
      <c r="V108" s="5" t="inlineStr">
        <is>
          <t>ai-roles:0015:q3</t>
        </is>
      </c>
    </row>
    <row r="109">
      <c r="A109" s="5" t="n">
        <v>108</v>
      </c>
      <c r="B109" s="5" t="b">
        <v>0</v>
      </c>
      <c r="C109" s="6" t="n"/>
      <c r="D109" s="6" t="n"/>
      <c r="E109" s="5" t="n"/>
      <c r="F109" s="5" t="inlineStr">
        <is>
          <t>Why is AI keyword highlighting for short and long-answer questions considered a gap in existing commercial grading solutions?</t>
        </is>
      </c>
      <c r="G109" s="5" t="inlineStr">
        <is>
          <t>Most commercial solutions mainly provide an interface for uploading answer sheets, adding rubrics and grading, and none provide AI-based assistance for grading short and long-answer questions by highlighting keywords. Also, whether AI assistance can actually reduce grading effort and time had not been carefully considered in published literature.</t>
        </is>
      </c>
      <c r="H109" s="5" t="inlineStr">
        <is>
          <t>Presently, most commercial solutions today provide an easy-to-use user interface (UI) that the graders can use to upload their set of answer sheets, add rubrics and grade them. While some strictly restrict the question paper format and answer format in order to provide assistance, others relax these restrictions by only providing an easy-to-use UI (more has been discussed in Sect. 2). Moreover, none of these solutions provide AI-based assistance in grading short and long-answer type questions by highlighting certain keywords that will help them in grading such answers. … While a few commercial products exist, the question of whether AI-assistance can actually reduce grading effort and time has not yet been carefully considered in published literature.</t>
        </is>
      </c>
      <c r="I109" s="5" t="inlineStr">
        <is>
          <t>Artificial Intelligence in Education. Posters and Late Breaking Results, Workshops and Tutorials, Industry and Innovation Tracks, Practitioners, Doctoral Consortium and Blue Sky, p. 335</t>
        </is>
      </c>
      <c r="J109" s="5" t="b">
        <v>1</v>
      </c>
      <c r="K109" s="5" t="b">
        <v>0</v>
      </c>
      <c r="L109" s="5" t="inlineStr"/>
      <c r="M109" s="5" t="inlineStr">
        <is>
          <t>explanation</t>
        </is>
      </c>
      <c r="N109" s="5" t="inlineStr">
        <is>
          <t>medium</t>
        </is>
      </c>
      <c r="O109" s="5" t="inlineStr">
        <is>
          <t>procurement_technology</t>
        </is>
      </c>
      <c r="P109" s="5" t="n">
        <v>5</v>
      </c>
      <c r="Q109" s="5" t="n">
        <v>3</v>
      </c>
      <c r="R109" s="5" t="inlineStr">
        <is>
          <t>Every statement in the answer is directly stated in the evidence: what commercial solutions mainly provide, the absence of AI keyword highlighting for short and long answers, and the literature gap on reducing grading effort and time. | The question is understandable without the source; 'existing commercial grading solutions' is a general category that needs no further context. | value: It is a narrow but relevant point about a gap in AI-assisted grading tools for higher education.</t>
        </is>
      </c>
      <c r="S109" s="5" t="inlineStr">
        <is>
          <t>What gap exists in commercial grading solutions regarding AI keyword highlighting for short and long-answer questions?</t>
        </is>
      </c>
      <c r="T109" s="5" t="inlineStr">
        <is>
          <t>What makes AI keyword highlighting for short and long-answer questions a shortcoming of current commercial grading solutions?</t>
        </is>
      </c>
      <c r="U109" s="5" t="inlineStr">
        <is>
          <t>full_v1</t>
        </is>
      </c>
      <c r="V109" s="5" t="inlineStr">
        <is>
          <t>artificial-intelligence-bceaf5:0236:q4</t>
        </is>
      </c>
    </row>
    <row r="110">
      <c r="A110" s="5" t="n">
        <v>109</v>
      </c>
      <c r="B110" s="5" t="b">
        <v>1</v>
      </c>
      <c r="C110" s="6" t="n"/>
      <c r="D110" s="6" t="n"/>
      <c r="E110" s="5" t="n"/>
      <c r="F110" s="5" t="inlineStr">
        <is>
          <t>What does shaping public perception of AI require, and what is it not about?</t>
        </is>
      </c>
      <c r="G110" s="5" t="inlineStr">
        <is>
          <t>Shaping public perception of AI is not about creating relentless propaganda or silencing criticism. It requires transparency, honesty, and collaboration between technologists, policy experts, and the public. This shared conversation must start early.</t>
        </is>
      </c>
      <c r="H110" s="5" t="inlineStr">
        <is>
          <t>Shaping public perception of AI is not about creating relentless propaganda or silencing criticism. Instead, it requires transparency, honesty, and collaboration between technologists, policy experts, and the public. This shared conversation must start early.</t>
        </is>
      </c>
      <c r="I110" s="5" t="inlineStr">
        <is>
          <t>AI Horizons: Chapter 6 Public Perception- Acceptance- and Literacy of AI, p. 4</t>
        </is>
      </c>
      <c r="J110" s="5" t="b">
        <v>1</v>
      </c>
      <c r="K110" s="5" t="b">
        <v>1</v>
      </c>
      <c r="L110" s="5" t="inlineStr"/>
      <c r="M110" s="5" t="inlineStr">
        <is>
          <t>definition</t>
        </is>
      </c>
      <c r="N110" s="5" t="inlineStr">
        <is>
          <t>medium</t>
        </is>
      </c>
      <c r="O110" s="5" t="inlineStr">
        <is>
          <t>general</t>
        </is>
      </c>
      <c r="P110" s="5" t="n">
        <v>5</v>
      </c>
      <c r="Q110" s="5" t="n">
        <v>3</v>
      </c>
      <c r="R110" s="5" t="inlineStr">
        <is>
          <t>The answer restates the evidence almost verbatim and adds no unsupported claims. | The question is self-contained and refers to no unseen source. | value: Relevant to responsible AI, but it is a generic, narrow statement about public perception rather than higher education.</t>
        </is>
      </c>
      <c r="S110" s="5" t="inlineStr">
        <is>
          <t>What is involved in shaping public perception of AI, and what does it exclude?</t>
        </is>
      </c>
      <c r="T110" s="5" t="inlineStr">
        <is>
          <t>What does shaping how the public perceives AI call for, and what is it not meant to be?</t>
        </is>
      </c>
      <c r="U110" s="5" t="inlineStr">
        <is>
          <t>full_v1</t>
        </is>
      </c>
      <c r="V110" s="5" t="inlineStr">
        <is>
          <t>bulk-download-chapter-6-public-perception:0003:q0</t>
        </is>
      </c>
    </row>
    <row r="111">
      <c r="A111" s="5" t="n">
        <v>110</v>
      </c>
      <c r="B111" s="5" t="b">
        <v>0</v>
      </c>
      <c r="C111" s="6" t="n"/>
      <c r="D111" s="6" t="n"/>
      <c r="E111" s="5" t="n"/>
      <c r="F111" s="5" t="inlineStr">
        <is>
          <t>Why does effort expectancy influence students' willingness to use generative AI tools?</t>
        </is>
      </c>
      <c r="G111" s="5" t="inlineStr">
        <is>
          <t>Effort expectancy has been shown to influence students' willingness to engage with GenAI tools because intuitive interaction, natural language interfaces, and reduced cognitive effort lower the barriers to adoption.</t>
        </is>
      </c>
      <c r="H111" s="5" t="inlineStr">
        <is>
          <t>Similarly, effort expectancy has been shown to influence students' willingness to engage with GenAI tools, as intuitive interaction, natural language interfaces, and reduced cognitive effort lower barriers to adoption (Tlili et al., 2025; Zhai, 2024).</t>
        </is>
      </c>
      <c r="I111" s="5" t="inlineStr">
        <is>
          <t>Social and cognitive drivers of generative AI adoption: A unified socio-cognitive model for engineering education, p. 4</t>
        </is>
      </c>
      <c r="J111" s="5" t="b">
        <v>0</v>
      </c>
      <c r="K111" s="5" t="b">
        <v>0</v>
      </c>
      <c r="L111" s="5" t="inlineStr">
        <is>
          <t>duplicate(question cos=1.006 of social-and-cognitive-drivers-of-generative-ai:0006:q4)</t>
        </is>
      </c>
      <c r="M111" s="5" t="inlineStr">
        <is>
          <t>explanation</t>
        </is>
      </c>
      <c r="N111" s="5" t="inlineStr">
        <is>
          <t>medium</t>
        </is>
      </c>
      <c r="O111" s="5" t="inlineStr">
        <is>
          <t>student_ai_literacy</t>
        </is>
      </c>
      <c r="P111" s="5" t="n">
        <v>5</v>
      </c>
      <c r="Q111" s="5" t="n">
        <v>4</v>
      </c>
      <c r="R111" s="5" t="inlineStr">
        <is>
          <t>The answer directly restates the evidence sentence, including the explanation of intuitive interaction, natural language interfaces and reduced cognitive effort. | The question is self-contained. 'Effort expectancy' is a known technology-acceptance construct, and the question does not refer to any unseen source. | value: Useful domain knowledge about a driver of student adoption of generative AI.</t>
        </is>
      </c>
      <c r="S111" s="5" t="inlineStr">
        <is>
          <t>How does effort expectancy come to affect students' willingness to engage with GenAI tools?</t>
        </is>
      </c>
      <c r="T111" s="5" t="inlineStr">
        <is>
          <t>What explains the influence of effort expectancy on students' willingness to adopt generative AI?</t>
        </is>
      </c>
      <c r="U111" s="5" t="inlineStr">
        <is>
          <t>full_v1</t>
        </is>
      </c>
      <c r="V111" s="5" t="inlineStr">
        <is>
          <t>social-and-cognitive-drivers-of-generative-ai:0007:q1</t>
        </is>
      </c>
    </row>
    <row r="112">
      <c r="A112" s="5" t="n">
        <v>111</v>
      </c>
      <c r="B112" s="5" t="b">
        <v>0</v>
      </c>
      <c r="C112" s="6" t="n"/>
      <c r="D112" s="6" t="n"/>
      <c r="E112" s="5" t="n"/>
      <c r="F112" s="5" t="inlineStr">
        <is>
          <t>Why do complex machine learning models that operate as black boxes pose a problem for users and regulators, and how does explainable AI respond?</t>
        </is>
      </c>
      <c r="G112" s="5" t="inlineStr">
        <is>
          <t>Several complex ML models operate as black boxes and hinder users and regulators from understanding, contesting or improving their outputs. XAI addresses this by providing tools, methodologies and frameworks intended to enhance the interpretability of AI systems through substantive compliance mechanisms, ethical standards and normative guidelines.</t>
        </is>
      </c>
      <c r="H112" s="5" t="inlineStr">
        <is>
          <t>For the time being, several complex ML models operate as black boxes, as they hinder the ability of their users and regulators to understand, contest or improve their outputs. XAI addresses these contentious issues by providing tools, methodologies and frameworks that are intended to enhance the interpretability of AI systems through substantive compliance mechanisms, ethical standards and normative guidelines.</t>
        </is>
      </c>
      <c r="I112" s="5" t="inlineStr">
        <is>
          <t>Opening the black box: Operational principles, tools and frameworks that advance explainable artificial intelligence (XAI) models, p. 6</t>
        </is>
      </c>
      <c r="J112" s="5" t="b">
        <v>1</v>
      </c>
      <c r="K112" s="5" t="b">
        <v>0</v>
      </c>
      <c r="L112" s="5" t="inlineStr"/>
      <c r="M112" s="5" t="inlineStr">
        <is>
          <t>explanation</t>
        </is>
      </c>
      <c r="N112" s="5" t="inlineStr">
        <is>
          <t>medium</t>
        </is>
      </c>
      <c r="O112" s="5" t="inlineStr">
        <is>
          <t>governance</t>
        </is>
      </c>
      <c r="P112" s="5" t="n">
        <v>5</v>
      </c>
      <c r="Q112" s="5" t="n">
        <v>5</v>
      </c>
      <c r="R112" s="5" t="inlineStr">
        <is>
          <t>Every statement in the answer is taken directly from the evidence, with minimal rewording. | The question spells out 'explainable AI' and describes black-box models clearly, with no reference to an unseen source. | value: It covers the core responsible-AI concepts of model opacity and explainability.</t>
        </is>
      </c>
      <c r="S112" s="5" t="inlineStr">
        <is>
          <t>Why are complex machine learning models that function as black boxes problematic for users and regulators, and in what way does explainable AI answer that problem?</t>
        </is>
      </c>
      <c r="T112" s="5" t="inlineStr">
        <is>
          <t>What makes black-box complex machine learning models a difficulty for both users and regulators, and how does explainable AI respond to it?</t>
        </is>
      </c>
      <c r="U112" s="5" t="inlineStr">
        <is>
          <t>full_v1</t>
        </is>
      </c>
      <c r="V112" s="5" t="inlineStr">
        <is>
          <t>opening-the-black-box-operational-principles:0008:q0</t>
        </is>
      </c>
    </row>
    <row r="113">
      <c r="A113" s="5" t="n">
        <v>112</v>
      </c>
      <c r="B113" s="5" t="b">
        <v>0</v>
      </c>
      <c r="C113" s="6" t="n"/>
      <c r="D113" s="6" t="n"/>
      <c r="E113" s="5" t="n"/>
      <c r="F113" s="5" t="inlineStr">
        <is>
          <t>Why does adding noise to a model's objective function or output weights offer more protection than adding noise to the training data alone?</t>
        </is>
      </c>
      <c r="G113" s="5" t="inlineStr">
        <is>
          <t>Adding noise to the objective or to the weights of the output has a similar effect as adding noise to the training data. It also adds protection against any attack on the model.</t>
        </is>
      </c>
      <c r="H113" s="5" t="inlineStr">
        <is>
          <t>Adding noise to the objective or the weights of the output has a similar effect as adding noise to the training data, with an added protection against any attack on the model.</t>
        </is>
      </c>
      <c r="I113" s="5" t="inlineStr">
        <is>
          <t>Responsible AI, p. 175</t>
        </is>
      </c>
      <c r="J113" s="5" t="b">
        <v>1</v>
      </c>
      <c r="K113" s="5" t="b">
        <v>0</v>
      </c>
      <c r="L113" s="5" t="inlineStr"/>
      <c r="M113" s="5" t="inlineStr">
        <is>
          <t>explanation</t>
        </is>
      </c>
      <c r="N113" s="5" t="inlineStr">
        <is>
          <t>medium</t>
        </is>
      </c>
      <c r="O113" s="5" t="inlineStr">
        <is>
          <t>privacy_security</t>
        </is>
      </c>
      <c r="P113" s="5" t="n">
        <v>5</v>
      </c>
      <c r="Q113" s="5" t="n">
        <v>3</v>
      </c>
      <c r="R113" s="5" t="inlineStr">
        <is>
          <t>The answer restates the evidence almost verbatim: the effect is similar to adding noise to training data, with added protection against any attack on the model. | The question is self-contained, uses general ML terms, and does not refer to an unseen source. | value: This is relevant privacy-preserving AI knowledge, but it is narrow and only loosely tied to higher education.</t>
        </is>
      </c>
      <c r="S113" s="5" t="inlineStr">
        <is>
          <t>What extra benefit does perturbing a model's objective or output weights have compared with perturbing only the training data?</t>
        </is>
      </c>
      <c r="T113" s="5" t="inlineStr">
        <is>
          <t>What makes injecting noise into a model's objective function or output weights a stronger safeguard than perturbing only the training data?</t>
        </is>
      </c>
      <c r="U113" s="5" t="inlineStr">
        <is>
          <t>full_v1</t>
        </is>
      </c>
      <c r="V113" s="5" t="inlineStr">
        <is>
          <t>responsible-ai-16f1bf:0079:q0</t>
        </is>
      </c>
    </row>
    <row r="114">
      <c r="A114" s="5" t="n">
        <v>113</v>
      </c>
      <c r="B114" s="5" t="b">
        <v>0</v>
      </c>
      <c r="C114" s="6" t="n"/>
      <c r="D114" s="6" t="n"/>
      <c r="E114" s="5" t="n"/>
      <c r="F114" s="5" t="inlineStr">
        <is>
          <t>What concern has been raised about students' use of generative AI because of its convenience?</t>
        </is>
      </c>
      <c r="G114" s="5" t="inlineStr">
        <is>
          <t>The convenience of generative AI has raised concerns about overreliance. Students use it to support knowledge acquisition, explore solutions, and stimulate creative thinking.</t>
        </is>
      </c>
      <c r="H114" s="5" t="inlineStr">
        <is>
          <t>As generative artificial intelligence (GenAI) becomes increasingly embedded in education, students are using it to support knowledge acquisition, explore solutions, and stimulate creative thinking. At the same time, its convenience has raised concerns about overreliance.</t>
        </is>
      </c>
      <c r="I114" s="5" t="inlineStr">
        <is>
          <t>Explainable machine learning for sustainable education: Predicting college students' reliance on generative artificial intelligence, p. 1</t>
        </is>
      </c>
      <c r="J114" s="5" t="b">
        <v>1</v>
      </c>
      <c r="K114" s="5" t="b">
        <v>0</v>
      </c>
      <c r="L114" s="5" t="inlineStr"/>
      <c r="M114" s="5" t="inlineStr">
        <is>
          <t>definition</t>
        </is>
      </c>
      <c r="N114" s="5" t="inlineStr">
        <is>
          <t>easy</t>
        </is>
      </c>
      <c r="O114" s="5" t="inlineStr">
        <is>
          <t>student_ai_literacy</t>
        </is>
      </c>
      <c r="P114" s="5" t="n">
        <v>5</v>
      </c>
      <c r="Q114" s="5" t="n">
        <v>4</v>
      </c>
      <c r="R114" s="5" t="inlineStr">
        <is>
          <t>Both statements are directly stated in the evidence: students use GenAI for knowledge acquisition, solutions, and creativity, and its convenience raises overreliance concerns. | The question is self-contained and needs no reference to a source. | value: Overreliance on GenAI is a relevant risk in higher education, though the answer is brief.</t>
        </is>
      </c>
      <c r="S114" s="5" t="inlineStr">
        <is>
          <t>Because generative AI is so convenient, what worry has emerged regarding student use?</t>
        </is>
      </c>
      <c r="T114" s="5" t="inlineStr">
        <is>
          <t>What problem do people worry about when students find generative AI convenient to use?</t>
        </is>
      </c>
      <c r="U114" s="5" t="inlineStr">
        <is>
          <t>full_v1</t>
        </is>
      </c>
      <c r="V114" s="5" t="inlineStr">
        <is>
          <t>explainable-machine-learning-for-sustainable:0000:q0</t>
        </is>
      </c>
    </row>
    <row r="115">
      <c r="A115" s="5" t="n">
        <v>114</v>
      </c>
      <c r="B115" s="5" t="b">
        <v>0</v>
      </c>
      <c r="C115" s="6" t="n"/>
      <c r="D115" s="6" t="n"/>
      <c r="E115" s="5" t="n"/>
      <c r="F115" s="5" t="inlineStr">
        <is>
          <t>A hospital team is considering a ResNet50 transfer learning classifier for breast cancer histopathology and wants clinicians to see why it predicts malignancy. What feature of the model supports this, and what metric indicates that it separates malignant from benign samples?</t>
        </is>
      </c>
      <c r="G115" s="5" t="inlineStr">
        <is>
          <t>Visualization of activation maps provides essential interpretability for clinical decision support by emphasizing the histological structures most relevant to the model's predictions. A large AUC value signifies that the model discriminates well between malignant and benign samples at different decision thresholds.</t>
        </is>
      </c>
      <c r="H115" s="5" t="inlineStr">
        <is>
          <t>The visualization of activation maps provides essential interpretability to clinical decision support by emphasizing histological structures most relevant to the model's predictions. … The large value of AUC signifies that the model discriminates well between malignant and benign samples at different decision thresholds. The balanced precision and recall imply the classifier is both malignancy-sensitive and resilient towards spurious positives.</t>
        </is>
      </c>
      <c r="I115" s="5" t="inlineStr">
        <is>
          <t>AI and Digital Transformation: Opportunities, Challenges, and Emerging Threats in Technology, Business, and Security, pp. 352-353</t>
        </is>
      </c>
      <c r="J115" s="5" t="b">
        <v>1</v>
      </c>
      <c r="K115" s="5" t="b">
        <v>1</v>
      </c>
      <c r="L115" s="5" t="inlineStr"/>
      <c r="M115" s="5" t="inlineStr">
        <is>
          <t>application</t>
        </is>
      </c>
      <c r="N115" s="5" t="inlineStr">
        <is>
          <t>hard</t>
        </is>
      </c>
      <c r="O115" s="5" t="inlineStr">
        <is>
          <t>general</t>
        </is>
      </c>
      <c r="P115" s="5" t="n">
        <v>5</v>
      </c>
      <c r="Q115" s="5" t="n">
        <v>3</v>
      </c>
      <c r="R115" s="5" t="inlineStr">
        <is>
          <t>Both statements are directly stated in the evidence with near-verbatim wording. | The question describes the model by its content and needs no unseen context. | value: Covers explainable medical AI, which is relevant to responsible AI but is a narrow, model-specific case outside higher education.</t>
        </is>
      </c>
      <c r="S115" s="5" t="inlineStr">
        <is>
          <t>A hospital wants pathologists to understand the basis of a ResNet50 breast cancer histopathology model's predictions. What supports interpretability, and which metric shows it discriminates malignant from benign samples?</t>
        </is>
      </c>
      <c r="T115" s="5" t="inlineStr">
        <is>
          <t>If clinicians need insight into a ResNet50 breast cancer classifier's predictions, what interpretability feature is available, and what metric indicates good discrimination between malignant and benign samples?</t>
        </is>
      </c>
      <c r="U115" s="5" t="inlineStr">
        <is>
          <t>full_v1</t>
        </is>
      </c>
      <c r="V115" s="5" t="inlineStr">
        <is>
          <t>ai-and-digital-transformation:0213:q1</t>
        </is>
      </c>
    </row>
    <row r="116">
      <c r="A116" s="5" t="n">
        <v>115</v>
      </c>
      <c r="B116" s="5" t="b">
        <v>0</v>
      </c>
      <c r="C116" s="6" t="n"/>
      <c r="D116" s="6" t="n"/>
      <c r="E116" s="5" t="n"/>
      <c r="F116" s="5" t="inlineStr">
        <is>
          <t>A Chinese university wants to tailor AI-competency teaching on human agency, human accountability and citizenship in the era of AI. Based on a study of Chinese undergraduates using the UNESCO framework, would gender, study year, discipline or self-rated AI familiarity alone predict differences, and what pattern did appear?</t>
        </is>
      </c>
      <c r="G116" s="5" t="inlineStr">
        <is>
          <t>Gender, study year, discipline and self-rated AI familiarity each had no significant multivariate main effect on the Human-centred Mindset dimensions. However, a significant gender by study year interaction affected the combined variables, suggesting the relationship between gender and these outcomes may vary with students' year of study. First-year students also scored significantly higher than mid-year students on Human Accountability and Citizenship in the era of AI.</t>
        </is>
      </c>
      <c r="H116" s="5" t="inlineStr">
        <is>
          <t>There was no significant multivariate effect of gender on the combined dependent variables, Wilks' Λ =0.997, F(3, 380) =0.39, p = .757, partial η 2 =0.003. Similarly, the effect of study year was not significant, Wilks' Λ = 0.997, F(6, 760) = 0.21, p = .973, partial η 2 = 0.002. The effect of major was also not significant, Wilks' Λ = 0.978, F(6, 760) = 1.42, p = .205, partial η 2 = 0.011. Familiarity with AI did not yield a significant multivariate effect, Wilks' Λ = 0.963, F(12, 1005.68) = 1.20, p = .280, partial η 2 = 0.012. … However, there was a significant interaction between gender and study year on the combined dependent variables, Wilks' Λ = 0.939, F(6, 760) = 4.08, p &lt; .001, partial η 2 = 0.031. This finding suggests that the relationship between gender and the outcome variables may vary depending on students' year of study. … A close examination of the statistics suggested individual DVs for gender was not significantly different, first-year students scored significantly higher than mid-year students in Human Accountability (mean difference = 0.196, p = .011) and Citizenship in the era of AI (mean difference = 0.205, p = .008).</t>
        </is>
      </c>
      <c r="I116" s="5" t="inlineStr">
        <is>
          <t>Exploring AI competency in Chinese undergraduates through the UNESCO framework, p. 5</t>
        </is>
      </c>
      <c r="J116" s="5" t="b">
        <v>1</v>
      </c>
      <c r="K116" s="5" t="b">
        <v>0</v>
      </c>
      <c r="L116" s="5" t="inlineStr"/>
      <c r="M116" s="5" t="inlineStr">
        <is>
          <t>application</t>
        </is>
      </c>
      <c r="N116" s="5" t="inlineStr">
        <is>
          <t>hard</t>
        </is>
      </c>
      <c r="O116" s="5" t="inlineStr">
        <is>
          <t>student_ai_literacy</t>
        </is>
      </c>
      <c r="P116" s="5" t="n">
        <v>4</v>
      </c>
      <c r="Q116" s="5" t="n">
        <v>3</v>
      </c>
      <c r="R116" s="5" t="inlineStr">
        <is>
          <t>The answer's statements are supported by the evidence. The only addition is the label 'Human-centred Mindset dimensions' for the combined dependent variables, which the evidence does not use; this is a minor rewording. | The question identifies the study by its content (Chinese undergraduates, UNESCO framework) and names the variables, so no unseen context is needed. | value: This is a narrow, study-specific statistical finding about student AI competency, with modest general value.</t>
        </is>
      </c>
      <c r="S116" s="5" t="inlineStr">
        <is>
          <t>A university in China is designing teaching on human agency, accountability and citizenship in the AI era. In a UNESCO-framework study of undergraduates, did gender, study year, major or AI familiarity alone have significant effects, and what pattern emerged?</t>
        </is>
      </c>
      <c r="T116" s="5" t="inlineStr">
        <is>
          <t>In a UNESCO-framework study of Chinese undergraduates, could gender, year of study, discipline or self-rated AI familiarity alone explain Human-centred Mindset differences, and which pattern was found instead?</t>
        </is>
      </c>
      <c r="U116" s="5" t="inlineStr">
        <is>
          <t>full_v1</t>
        </is>
      </c>
      <c r="V116" s="5" t="inlineStr">
        <is>
          <t>exploring-ai-competency-in-chinese:0010:q0</t>
        </is>
      </c>
    </row>
    <row r="117">
      <c r="A117" s="5" t="n">
        <v>116</v>
      </c>
      <c r="B117" s="5" t="b">
        <v>0</v>
      </c>
      <c r="C117" s="6" t="n"/>
      <c r="D117" s="6" t="n"/>
      <c r="E117" s="5" t="n"/>
      <c r="F117" s="5" t="inlineStr">
        <is>
          <t>What risk do disparities in infrastructure and digital competence pose when AI is integrated into mathematics education?</t>
        </is>
      </c>
      <c r="G117" s="5" t="inlineStr">
        <is>
          <t>Disparities in infrastructure and digital competence risk widening existing educational inequalities, so issues of equity and access demand sustained investigation.</t>
        </is>
      </c>
      <c r="H117" s="5" t="inlineStr">
        <is>
          <t>At the same time, issues of equity and access demand sustained investigation, particularly in contexts where disparities in infrastructure and digital competence risk widening existing educational inequalities (Avci et al., 2025).</t>
        </is>
      </c>
      <c r="I117" s="5" t="inlineStr">
        <is>
          <t>AI integration in mathematics education: A systematic review of implementation challenges and pedagogical implications (2017-2025), p. 11</t>
        </is>
      </c>
      <c r="J117" s="5" t="b">
        <v>1</v>
      </c>
      <c r="K117" s="5" t="b">
        <v>0</v>
      </c>
      <c r="L117" s="5" t="inlineStr"/>
      <c r="M117" s="5" t="inlineStr">
        <is>
          <t>factual</t>
        </is>
      </c>
      <c r="N117" s="5" t="inlineStr">
        <is>
          <t>easy</t>
        </is>
      </c>
      <c r="O117" s="5" t="inlineStr">
        <is>
          <t>equity_accessibility</t>
        </is>
      </c>
      <c r="P117" s="5" t="n">
        <v>4</v>
      </c>
      <c r="Q117" s="5" t="n">
        <v>4</v>
      </c>
      <c r="R117" s="5" t="inlineStr">
        <is>
          <t>The answer restates the evidence closely. The causal 'so' slightly reframes the relationship: the evidence presents equity investigation as especially needed in contexts with disparities, not as a consequence of them. | The question is clear without the source and names its topic explicitly. | value: It covers a useful equity risk of AI integration, though the scope is specific to mathematics education.</t>
        </is>
      </c>
      <c r="S117" s="5" t="inlineStr">
        <is>
          <t>When AI is integrated into mathematics education, what do infrastructure and digital competence disparities risk doing?</t>
        </is>
      </c>
      <c r="T117" s="5" t="inlineStr">
        <is>
          <t>What is the risk of gaps in infrastructure and digital competence for AI integration in mathematics education?</t>
        </is>
      </c>
      <c r="U117" s="5" t="inlineStr">
        <is>
          <t>full_v1</t>
        </is>
      </c>
      <c r="V117" s="5" t="inlineStr">
        <is>
          <t>ai-integration-in-mathematics-education:0017:q3</t>
        </is>
      </c>
    </row>
    <row r="118">
      <c r="A118" s="5" t="n">
        <v>117</v>
      </c>
      <c r="B118" s="5" t="b">
        <v>0</v>
      </c>
      <c r="C118" s="6" t="n"/>
      <c r="D118" s="6" t="n"/>
      <c r="E118" s="5" t="n"/>
      <c r="F118" s="5" t="inlineStr">
        <is>
          <t>Why is working in collaboration with others valuable for solving complex problems when social intelligence supports thinking skills for Industry 4.0?</t>
        </is>
      </c>
      <c r="G118" s="5" t="inlineStr">
        <is>
          <t>Thinking skills are further supported by social intelligence, at the core of which are responsibility, ethics and teamwork. Working in collaboration with others allows solutions to complex problems to be found from different perspectives, avoiding blind spots among individuals with the same thinking patterns.</t>
        </is>
      </c>
      <c r="H118" s="5" t="inlineStr">
        <is>
          <t>Thinking skills are further supported by social intelligence at the core of which are responsibility, ethics and teamwork [58]. Working in collaboration with others allows finding solutions to complex problems from different perspectives, avoiding blind spots among individuals with the same thinking patterns.</t>
        </is>
      </c>
      <c r="I118" s="5" t="inlineStr">
        <is>
          <t>Higher Education in the Arab World, p. 133</t>
        </is>
      </c>
      <c r="J118" s="5" t="b">
        <v>1</v>
      </c>
      <c r="K118" s="5" t="b">
        <v>1</v>
      </c>
      <c r="L118" s="5" t="inlineStr"/>
      <c r="M118" s="5" t="inlineStr">
        <is>
          <t>explanation</t>
        </is>
      </c>
      <c r="N118" s="5" t="inlineStr">
        <is>
          <t>medium</t>
        </is>
      </c>
      <c r="O118" s="5" t="inlineStr">
        <is>
          <t>student_ai_literacy</t>
        </is>
      </c>
      <c r="P118" s="5" t="n">
        <v>5</v>
      </c>
      <c r="Q118" s="5" t="n">
        <v>3</v>
      </c>
      <c r="R118" s="5" t="inlineStr">
        <is>
          <t>The answer closely restates the evidence: social intelligence (responsibility, ethics, teamwork) supports thinking skills, and collaboration brings different perspectives that avoid blind spots. It adds nothing unsupported. | The question names its concepts directly and does not presuppose access to a source. | value: This is a general point about collaboration and social intelligence as future skills, only loosely tied to AI in higher education.</t>
        </is>
      </c>
      <c r="S118" s="5" t="inlineStr">
        <is>
          <t>How does collaborating with others help in finding solutions to complex problems, given the role of social intelligence in supporting thinking skills?</t>
        </is>
      </c>
      <c r="T118" s="5" t="inlineStr">
        <is>
          <t>What makes teamwork useful for tackling complex problems when social intelligence underpins thinking skills?</t>
        </is>
      </c>
      <c r="U118" s="5" t="inlineStr">
        <is>
          <t>full_v1</t>
        </is>
      </c>
      <c r="V118" s="5" t="inlineStr">
        <is>
          <t>higher-education-in-arab:0072:q3</t>
        </is>
      </c>
    </row>
    <row r="119">
      <c r="A119" s="5" t="n">
        <v>118</v>
      </c>
      <c r="B119" s="5" t="b">
        <v>0</v>
      </c>
      <c r="C119" s="6" t="n"/>
      <c r="D119" s="6" t="n"/>
      <c r="E119" s="5" t="n"/>
      <c r="F119" s="5" t="inlineStr">
        <is>
          <t>What ethical oversight and capacity-building measures did Argentina's 2019 National Artificial Intelligence Plan encourage?</t>
        </is>
      </c>
      <c r="G119" s="5" t="inlineStr">
        <is>
          <t>The plan encouraged developing technological competencies and talents at all educational levels. It also encouraged establishing an Ethical Committee that will supervise potential risks derived from implementing AI systems.</t>
        </is>
      </c>
      <c r="H119" s="5" t="inlineStr">
        <is>
          <t>It also encouraged the development of technological competencies and talents at all educational levels and the establishment of an Ethical Committee that will supervise potential risks derived from the implementation of AI systems (pp. 96).</t>
        </is>
      </c>
      <c r="I119" s="5" t="inlineStr">
        <is>
          <t>Ethical and Legal Dilemmas of Artificial Intelligence in Latin America, p. 123</t>
        </is>
      </c>
      <c r="J119" s="5" t="b">
        <v>1</v>
      </c>
      <c r="K119" s="5" t="b">
        <v>0</v>
      </c>
      <c r="L119" s="5" t="inlineStr"/>
      <c r="M119" s="5" t="inlineStr">
        <is>
          <t>explanation</t>
        </is>
      </c>
      <c r="N119" s="5" t="inlineStr">
        <is>
          <t>medium</t>
        </is>
      </c>
      <c r="O119" s="5" t="inlineStr">
        <is>
          <t>governance</t>
        </is>
      </c>
      <c r="P119" s="5" t="n">
        <v>5</v>
      </c>
      <c r="Q119" s="5" t="n">
        <v>3</v>
      </c>
      <c r="R119" s="5" t="inlineStr">
        <is>
          <t>Both statements, on competencies and talents at all educational levels and on an Ethical Committee supervising AI risks, are directly stated in the evidence. | The question names a specific national plan and year, so it needs no outside context. | value: A useful but narrow policy detail linking national AI strategy to education and ethical oversight.</t>
        </is>
      </c>
      <c r="S119" s="5" t="inlineStr">
        <is>
          <t>Which measures on talent and risk supervision did Argentina's 2019 National AI Plan encourage?</t>
        </is>
      </c>
      <c r="T119" s="5" t="inlineStr">
        <is>
          <t>What did Argentina's 2019 AI plan encourage regarding educational competencies and supervision of AI risks?</t>
        </is>
      </c>
      <c r="U119" s="5" t="inlineStr">
        <is>
          <t>full_v1</t>
        </is>
      </c>
      <c r="V119" s="5" t="inlineStr">
        <is>
          <t>ethical-and-legal-dilemmas:0049:q2</t>
        </is>
      </c>
    </row>
    <row r="120">
      <c r="A120" s="5" t="n">
        <v>119</v>
      </c>
      <c r="B120" s="5" t="b">
        <v>0</v>
      </c>
      <c r="C120" s="6" t="n"/>
      <c r="D120" s="6" t="n"/>
      <c r="E120" s="5" t="n"/>
      <c r="F120" s="5" t="inlineStr">
        <is>
          <t>What are the three types into which machine learning is typically classified?</t>
        </is>
      </c>
      <c r="G120" s="5" t="inlineStr">
        <is>
          <t>Machine learning is typically classified into reinforcement learning, supervised learning, and unsupervised learning.</t>
        </is>
      </c>
      <c r="H120" s="5" t="inlineStr">
        <is>
          <t>Machine learning (ML) is a data analysis method that enables systems to automatically learn from data, discover hidden rules and patterns, and gain new insights (Pugliese et al. 2021). ML is typically classified into three types: reinforcement learning, supervised learning, and unsupervised learning (Alzubi et al. 2018).</t>
        </is>
      </c>
      <c r="I120" s="5" t="inlineStr">
        <is>
          <t>AI Roles and Responsibilities in Education, p. 348</t>
        </is>
      </c>
      <c r="J120" s="5" t="b">
        <v>1</v>
      </c>
      <c r="K120" s="5" t="b">
        <v>0</v>
      </c>
      <c r="L120" s="5" t="inlineStr"/>
      <c r="M120" s="5" t="inlineStr">
        <is>
          <t>factual</t>
        </is>
      </c>
      <c r="N120" s="5" t="inlineStr">
        <is>
          <t>easy</t>
        </is>
      </c>
      <c r="O120" s="5" t="inlineStr">
        <is>
          <t>general</t>
        </is>
      </c>
      <c r="P120" s="5" t="n">
        <v>5</v>
      </c>
      <c r="Q120" s="5" t="n">
        <v>3</v>
      </c>
      <c r="R120" s="5" t="inlineStr">
        <is>
          <t>The answer directly restates the three types named in the evidence. | The question is self-contained and does not depend on any unseen source. | value: This is general AI background knowledge that is useful but not specific to responsible AI in higher education.</t>
        </is>
      </c>
      <c r="S120" s="5" t="inlineStr">
        <is>
          <t>Into which three categories is machine learning usually divided?</t>
        </is>
      </c>
      <c r="T120" s="5" t="inlineStr">
        <is>
          <t>Which three types of machine learning are typically distinguished?</t>
        </is>
      </c>
      <c r="U120" s="5" t="inlineStr">
        <is>
          <t>full_v1</t>
        </is>
      </c>
      <c r="V120" s="5" t="inlineStr">
        <is>
          <t>ai-roles:0199:q1</t>
        </is>
      </c>
    </row>
    <row r="121">
      <c r="A121" s="5" t="n">
        <v>120</v>
      </c>
      <c r="B121" s="5" t="b">
        <v>0</v>
      </c>
      <c r="C121" s="6" t="n"/>
      <c r="D121" s="6" t="n"/>
      <c r="E121" s="5" t="n"/>
      <c r="F121" s="5" t="inlineStr">
        <is>
          <t>Why must effective AI governance in universities be context-sensitive across fields of study?</t>
        </is>
      </c>
      <c r="G121" s="5" t="inlineStr">
        <is>
          <t>Disciplinary variation in AI governance is pronounced. This underscores that effective governance must be context-sensitive and aligned with the epistemic cultures of different fields.</t>
        </is>
      </c>
      <c r="H121" s="5" t="inlineStr">
        <is>
          <t>Disciplinary variation is pronounced, underscoring that effective governance must be context-sensitive and aligned with the epistemic cultures of different fields.</t>
        </is>
      </c>
      <c r="I121" s="5" t="inlineStr">
        <is>
          <t>AI and Security in China’s Higher Education, p. 207</t>
        </is>
      </c>
      <c r="J121" s="5" t="b">
        <v>1</v>
      </c>
      <c r="K121" s="5" t="b">
        <v>0</v>
      </c>
      <c r="L121" s="5" t="inlineStr"/>
      <c r="M121" s="5" t="inlineStr">
        <is>
          <t>explanation</t>
        </is>
      </c>
      <c r="N121" s="5" t="inlineStr">
        <is>
          <t>medium</t>
        </is>
      </c>
      <c r="O121" s="5" t="inlineStr">
        <is>
          <t>governance</t>
        </is>
      </c>
      <c r="P121" s="5" t="n">
        <v>4</v>
      </c>
      <c r="Q121" s="5" t="n">
        <v>3</v>
      </c>
      <c r="R121" s="5" t="inlineStr">
        <is>
          <t>The answer restates the evidence almost verbatim. It only specifies that the variation is 'in AI governance', a minor rewording. | The question is self-contained and uses no source-dependent wording or undefined terms. | value: It is relevant to university AI governance, but the answer is thin and largely restates the premise.</t>
        </is>
      </c>
      <c r="S121" s="5" t="inlineStr">
        <is>
          <t>What makes it necessary for effective AI governance at universities to take account of the differences between academic fields?</t>
        </is>
      </c>
      <c r="T121" s="5" t="inlineStr">
        <is>
          <t>For what reason does successful university AI governance have to be adapted to the context of each field of study?</t>
        </is>
      </c>
      <c r="U121" s="5" t="inlineStr">
        <is>
          <t>full_v1</t>
        </is>
      </c>
      <c r="V121" s="5" t="inlineStr">
        <is>
          <t>ai-and-security-in-china-s-higher-education:0130:q2</t>
        </is>
      </c>
    </row>
    <row r="122">
      <c r="A122" s="5" t="n">
        <v>121</v>
      </c>
      <c r="B122" s="5" t="b">
        <v>0</v>
      </c>
      <c r="C122" s="6" t="n"/>
      <c r="D122" s="6" t="n"/>
      <c r="E122" s="5" t="n"/>
      <c r="F122" s="5" t="inlineStr">
        <is>
          <t>What share of the global disease burden do countries ranking high on the IHME socio-demographic index carry, and what share of the reduction in disease burden from bio innovations could they gain?</t>
        </is>
      </c>
      <c r="G122" s="5" t="inlineStr">
        <is>
          <t>Countries with high rankings on the IHME socio-demographic index account for roughly 30 percent of today's global disease burden. They could gain about 70 percent of the total share of reduction in the global disease burden from bio innovations.</t>
        </is>
      </c>
      <c r="H122" s="5" t="inlineStr">
        <is>
          <t>Our analysis finds that countries with high rankings on the Institute for Health Metrics and Evaluation's (IHME) socio-demographic index account for roughly 30 percent of today's global disease burden but could gain about 70 percent of the total share of reduction in the global disease burden from bio innovations.</t>
        </is>
      </c>
      <c r="I122" s="5" t="inlineStr">
        <is>
          <t>Augmented Education in the Global Age: Artificial Intelligence and the Future of Learning and Work, p. 84</t>
        </is>
      </c>
      <c r="J122" s="5" t="b">
        <v>0</v>
      </c>
      <c r="K122" s="5" t="b">
        <v>0</v>
      </c>
      <c r="L122" s="5" t="inlineStr">
        <is>
          <t>not_standalone(judge);low_value(2)</t>
        </is>
      </c>
      <c r="M122" s="5" t="inlineStr">
        <is>
          <t>factual</t>
        </is>
      </c>
      <c r="N122" s="5" t="inlineStr">
        <is>
          <t>easy</t>
        </is>
      </c>
      <c r="O122" s="5" t="inlineStr">
        <is>
          <t>equity_accessibility</t>
        </is>
      </c>
      <c r="P122" s="5" t="n">
        <v>5</v>
      </c>
      <c r="Q122" s="5" t="n">
        <v>2</v>
      </c>
      <c r="R122" s="5" t="inlineStr">
        <is>
          <t>Both figures (about 30 percent of the burden and about 70 percent of the reduction) are stated directly in the evidence. | The acronym IHME is never defined, so a reader unfamiliar with the source may not know what it refers to. | value: Global health statistics on bio innovations fall largely outside responsible AI or AI in higher education.</t>
        </is>
      </c>
      <c r="S122" s="5" t="inlineStr">
        <is>
          <t>How much of today's global disease burden falls on countries ranking high on the IHME socio-demographic index, and how much of the burden reduction from bio innovations could they capture?</t>
        </is>
      </c>
      <c r="T122" s="5" t="inlineStr">
        <is>
          <t>According to an analysis using the IHME socio-demographic index, what proportion of disease burden do high-ranking countries account for versus the proportion of bio innovation gains they could receive?</t>
        </is>
      </c>
      <c r="U122" s="5" t="inlineStr">
        <is>
          <t>full_v1</t>
        </is>
      </c>
      <c r="V122" s="5" t="inlineStr">
        <is>
          <t>daniel-araya-peter-2023-augmented-education-in:0037:q0</t>
        </is>
      </c>
    </row>
    <row r="123">
      <c r="A123" s="5" t="n">
        <v>122</v>
      </c>
      <c r="B123" s="5" t="b">
        <v>0</v>
      </c>
      <c r="C123" s="6" t="n"/>
      <c r="D123" s="6" t="n"/>
      <c r="E123" s="5" t="n"/>
      <c r="F123" s="5" t="inlineStr">
        <is>
          <t>How does the EU AI Act's human oversight requirement relate to explainability?</t>
        </is>
      </c>
      <c r="G123" s="5" t="inlineStr">
        <is>
          <t>The EU AI Act's human oversight requirement is another reference to explainability. It states that AI systems must be designed and developed so that they can be effectively overseen by natural persons during the period in which the system is in use.</t>
        </is>
      </c>
      <c r="H123" s="5" t="inlineStr">
        <is>
          <t>Another reference of the AI Act to explainability can be found in the requirement of "human oversight." "AI systems must be designed and developed in such a way that they can be effectively overseen by natural persons during the period in which the system is in use."</t>
        </is>
      </c>
      <c r="I123" s="5" t="inlineStr">
        <is>
          <t>Responsible AI in Practice, p. 90</t>
        </is>
      </c>
      <c r="J123" s="5" t="b">
        <v>1</v>
      </c>
      <c r="K123" s="5" t="b">
        <v>0</v>
      </c>
      <c r="L123" s="5" t="inlineStr"/>
      <c r="M123" s="5" t="inlineStr">
        <is>
          <t>factual</t>
        </is>
      </c>
      <c r="N123" s="5" t="inlineStr">
        <is>
          <t>easy</t>
        </is>
      </c>
      <c r="O123" s="5" t="inlineStr">
        <is>
          <t>governance</t>
        </is>
      </c>
      <c r="P123" s="5" t="n">
        <v>5</v>
      </c>
      <c r="Q123" s="5" t="n">
        <v>4</v>
      </c>
      <c r="R123" s="5" t="inlineStr">
        <is>
          <t>Both statements are taken directly from the evidence, which calls human oversight another reference to explainability and quotes the design requirement. | The EU AI Act is a named, well-known regulation, and the question needs no source context to be understood. | value: This is useful regulatory knowledge about how human oversight connects to explainability.</t>
        </is>
      </c>
      <c r="S123" s="5" t="inlineStr">
        <is>
          <t>In what way is the human oversight requirement of the EU AI Act connected to explainability?</t>
        </is>
      </c>
      <c r="T123" s="5" t="inlineStr">
        <is>
          <t>What is the link between explainability and the EU AI Act's requirement for human oversight?</t>
        </is>
      </c>
      <c r="U123" s="5" t="inlineStr">
        <is>
          <t>full_v1</t>
        </is>
      </c>
      <c r="V123" s="5" t="inlineStr">
        <is>
          <t>responsible-ai-in-practice:0039:q4</t>
        </is>
      </c>
    </row>
    <row r="124">
      <c r="A124" s="5" t="n">
        <v>123</v>
      </c>
      <c r="B124" s="5" t="b">
        <v>0</v>
      </c>
      <c r="C124" s="6" t="n"/>
      <c r="D124" s="6" t="n"/>
      <c r="E124" s="5" t="n"/>
      <c r="F124" s="5" t="inlineStr">
        <is>
          <t>Why is it difficult for XAI designers to gather user feedback and to carry out iterative design for explainable AI systems?</t>
        </is>
      </c>
      <c r="G124" s="5" t="inlineStr">
        <is>
          <t>AI systems can be complex and users may not fully understand how they work, so it can be hard to get meaningful feedback about what users like or dislike. Iterative design is also challenging because making changes to the AI system may require significant computational resources and time.</t>
        </is>
      </c>
      <c r="H124" s="5" t="inlineStr">
        <is>
          <t>This challenge arises because AI systems can be complex, and users may not fully understand how they work. Therefore, it can be difficult to get meaningful feedback from users about what they like or dislike about the system. Additionally, iterative design can be challenging, as making changes to the AI system may require significant computational resources and time [98].</t>
        </is>
      </c>
      <c r="I124" s="5" t="inlineStr">
        <is>
          <t>Towards Ethical and Socially Responsible Explainable AI, p. 130</t>
        </is>
      </c>
      <c r="J124" s="5" t="b">
        <v>1</v>
      </c>
      <c r="K124" s="5" t="b">
        <v>0</v>
      </c>
      <c r="L124" s="5" t="inlineStr"/>
      <c r="M124" s="5" t="inlineStr">
        <is>
          <t>explanation</t>
        </is>
      </c>
      <c r="N124" s="5" t="inlineStr">
        <is>
          <t>medium</t>
        </is>
      </c>
      <c r="O124" s="5" t="inlineStr">
        <is>
          <t>teaching_learning</t>
        </is>
      </c>
      <c r="P124" s="5" t="n">
        <v>5</v>
      </c>
      <c r="Q124" s="5" t="n">
        <v>4</v>
      </c>
      <c r="R124" s="5" t="inlineStr">
        <is>
          <t>The answer directly restates the evidence's reasons for both difficulties without adding anything. | XAI is a widely recognized acronym for explainable AI and is expanded at the end of the question. The question does not refer to any unseen source. | value: This is useful domain knowledge about practical challenges in designing explainable AI.</t>
        </is>
      </c>
      <c r="S124" s="5" t="inlineStr">
        <is>
          <t>What makes user feedback collection and iterative design challenging when building explainable AI?</t>
        </is>
      </c>
      <c r="T124" s="5" t="inlineStr">
        <is>
          <t>Why do XAI designers struggle with obtaining meaningful user feedback and iterating on AI system design?</t>
        </is>
      </c>
      <c r="U124" s="5" t="inlineStr">
        <is>
          <t>full_v1</t>
        </is>
      </c>
      <c r="V124" s="5" t="inlineStr">
        <is>
          <t>towards-ethical:0067:q2</t>
        </is>
      </c>
    </row>
    <row r="125">
      <c r="A125" s="5" t="n">
        <v>124</v>
      </c>
      <c r="B125" s="5" t="b">
        <v>0</v>
      </c>
      <c r="C125" s="6" t="n"/>
      <c r="D125" s="6" t="n"/>
      <c r="E125" s="5" t="n"/>
      <c r="F125" s="5" t="inlineStr">
        <is>
          <t>What do the low execution time and latency of the proposed AI compliance monitoring framework make it suitable for in healthcare?</t>
        </is>
      </c>
      <c r="G125" s="5" t="inlineStr">
        <is>
          <t>Its low execution latency and time qualify it for application in high-throughput healthcare data exchanges, with regulatory violations recognized in real time.</t>
        </is>
      </c>
      <c r="H125" s="5" t="inlineStr">
        <is>
          <t>Low execution latency and time in the proposed framework also qualify it for application in high-throughput healthcare data exchanges, with regulatory violations recognized in real-time.</t>
        </is>
      </c>
      <c r="I125" s="5" t="inlineStr">
        <is>
          <t>AI and Digital Transformation: Opportunities, Challenges, and Emerging Threats in Technology, Business, and Security, p. 529</t>
        </is>
      </c>
      <c r="J125" s="5" t="b">
        <v>0</v>
      </c>
      <c r="K125" s="5" t="b">
        <v>0</v>
      </c>
      <c r="L125" s="5" t="inlineStr">
        <is>
          <t>not_standalone(judge);low_value(2)</t>
        </is>
      </c>
      <c r="M125" s="5" t="inlineStr">
        <is>
          <t>definition</t>
        </is>
      </c>
      <c r="N125" s="5" t="inlineStr">
        <is>
          <t>easy</t>
        </is>
      </c>
      <c r="O125" s="5" t="inlineStr">
        <is>
          <t>procurement_technology</t>
        </is>
      </c>
      <c r="P125" s="5" t="n">
        <v>5</v>
      </c>
      <c r="Q125" s="5" t="n">
        <v>2</v>
      </c>
      <c r="R125" s="5" t="inlineStr">
        <is>
          <t>The answer closely restates the evidence: low latency and execution time suit the framework for high-throughput healthcare data exchanges with real-time violation recognition. | 'The proposed AI compliance monitoring framework' points to an unseen source's specific proposal without identifying it. | value: This is a narrow performance claim about one unnamed healthcare compliance framework, only loosely tied to responsible AI in higher education.</t>
        </is>
      </c>
      <c r="S125" s="5" t="inlineStr">
        <is>
          <t>For what kind of healthcare data exchanges does the low latency of the proposed AI compliance framework qualify it?</t>
        </is>
      </c>
      <c r="T125" s="5" t="inlineStr">
        <is>
          <t>What application is the proposed compliance monitoring framework qualified for because of its low execution time and latency?</t>
        </is>
      </c>
      <c r="U125" s="5" t="inlineStr">
        <is>
          <t>full_v1</t>
        </is>
      </c>
      <c r="V125" s="5" t="inlineStr">
        <is>
          <t>ai-and-digital-transformation:0305:q4</t>
        </is>
      </c>
    </row>
    <row r="126">
      <c r="A126" s="5" t="n">
        <v>125</v>
      </c>
      <c r="B126" s="5" t="b">
        <v>0</v>
      </c>
      <c r="C126" s="6" t="n"/>
      <c r="D126" s="6" t="n"/>
      <c r="E126" s="5" t="n"/>
      <c r="F126" s="5" t="inlineStr">
        <is>
          <t>In a study of pre-service teachers' readiness for AI integration using the iTPACK instrument, which demographic variables did not significantly affect iTPACK dimensions?</t>
        </is>
      </c>
      <c r="G126" s="5" t="inlineStr">
        <is>
          <t>Gender and age did not significantly affect the various dimensions of the iTPACK model. This aligns with previous research indicating an equitable distribution of these competencies among future educators.</t>
        </is>
      </c>
      <c r="H126" s="5" t="inlineStr">
        <is>
          <t>It finds that gender and age do not significantly affect the various dimensions of the iTPACK model, aligning with previous research indicating an equitable distribution of these competencies among future educators. However, a notable distinction arises with academic level; students in advanced courses achieve higher scores in iTK, iTPK and ETHICS dimensions.</t>
        </is>
      </c>
      <c r="I126" s="5" t="inlineStr">
        <is>
          <t>Conceptualizing pre-service teachers' readiness for AI integration into teaching practices: An intelligent-TPACK approach, p. 8</t>
        </is>
      </c>
      <c r="J126" s="5" t="b">
        <v>0</v>
      </c>
      <c r="K126" s="5" t="b">
        <v>0</v>
      </c>
      <c r="L126" s="5" t="inlineStr">
        <is>
          <t>not_standalone(judge);low_value(2)</t>
        </is>
      </c>
      <c r="M126" s="5" t="inlineStr">
        <is>
          <t>factual</t>
        </is>
      </c>
      <c r="N126" s="5" t="inlineStr">
        <is>
          <t>easy</t>
        </is>
      </c>
      <c r="O126" s="5" t="inlineStr">
        <is>
          <t>equity_accessibility</t>
        </is>
      </c>
      <c r="P126" s="5" t="n">
        <v>5</v>
      </c>
      <c r="Q126" s="5" t="n">
        <v>2</v>
      </c>
      <c r="R126" s="5" t="inlineStr">
        <is>
          <t>Both statements are directly stated in the evidence. | iTPACK is an undefined acronym, though the study is otherwise described by content. | value: Which demographic variables lacked significance is a narrow study-sample finding of limited general value.</t>
        </is>
      </c>
      <c r="S126" s="5" t="inlineStr">
        <is>
          <t>Which demographic characteristics showed no significant effect on iTPACK dimensions among pre-service teachers?</t>
        </is>
      </c>
      <c r="T126" s="5" t="inlineStr">
        <is>
          <t>In research on pre-service teachers' iTPACK, which demographic factors had no significant influence on the dimensions?</t>
        </is>
      </c>
      <c r="U126" s="5" t="inlineStr">
        <is>
          <t>full_v1</t>
        </is>
      </c>
      <c r="V126" s="5" t="inlineStr">
        <is>
          <t>conceptualizing-pre-service-teachers-readiness:0014:q0</t>
        </is>
      </c>
    </row>
    <row r="127">
      <c r="A127" s="5" t="n">
        <v>126</v>
      </c>
      <c r="B127" s="5" t="b">
        <v>1</v>
      </c>
      <c r="C127" s="6" t="n"/>
      <c r="D127" s="6" t="n"/>
      <c r="E127" s="5" t="n"/>
      <c r="F127" s="5" t="inlineStr">
        <is>
          <t>A government wants to encourage AI developers to build responsible systems without relying only on penalties. What approaches from the EU and Singapore are relevant?</t>
        </is>
      </c>
      <c r="G127" s="5" t="inlineStr">
        <is>
          <t>The EU's experiments with AI systems show that AI governance should not just be about punishment, but should include positive incentives for developers to do things the right way. Singapore made government procurement conditional on stringent privacy requirements and created regulatory testing scenarios where public safety-related AI is piloted.</t>
        </is>
      </c>
      <c r="H127" s="5" t="inlineStr">
        <is>
          <t>The EU's experiments with AI systems show that AI governance should not just be about punishment, but positive incentives for developers to do things the right way. … Singapore's government, however, made procurement conditional upon stringent privacy requirements and create regulatory testing scenarios where public safety-related AI is piloted.</t>
        </is>
      </c>
      <c r="I127" s="5" t="inlineStr">
        <is>
          <t>AI Horizons: Chapter 5 AI Governance and Policy, pp. 6-7</t>
        </is>
      </c>
      <c r="J127" s="5" t="b">
        <v>1</v>
      </c>
      <c r="K127" s="5" t="b">
        <v>0</v>
      </c>
      <c r="L127" s="5" t="inlineStr"/>
      <c r="M127" s="5" t="inlineStr">
        <is>
          <t>application</t>
        </is>
      </c>
      <c r="N127" s="5" t="inlineStr">
        <is>
          <t>hard</t>
        </is>
      </c>
      <c r="O127" s="5" t="inlineStr">
        <is>
          <t>governance</t>
        </is>
      </c>
      <c r="P127" s="5" t="n">
        <v>5</v>
      </c>
      <c r="Q127" s="5" t="n">
        <v>4</v>
      </c>
      <c r="R127" s="5" t="inlineStr">
        <is>
          <t>The answer closely restates the evidence on EU positive incentives and Singapore's procurement conditions and regulatory testing scenarios. | The scenario-based question is self-contained and names the EU and Singapore explicitly. | value: It gives useful AI governance approaches built on incentives, such as procurement conditions and regulatory testing.</t>
        </is>
      </c>
      <c r="S127" s="5" t="inlineStr">
        <is>
          <t>How could a government foster responsible AI development without relying solely on punishment, drawing on EU and Singapore experience?</t>
        </is>
      </c>
      <c r="T127" s="5" t="inlineStr">
        <is>
          <t>Which EU and Singapore approaches could a government draw on to motivate AI developers to create responsible systems without depending solely on penalties?</t>
        </is>
      </c>
      <c r="U127" s="5" t="inlineStr">
        <is>
          <t>full_v1</t>
        </is>
      </c>
      <c r="V127" s="5" t="inlineStr">
        <is>
          <t>bulk-download-chapter-5-ai-governance-and-policy:0004:q3</t>
        </is>
      </c>
    </row>
    <row r="128">
      <c r="A128" s="5" t="n">
        <v>127</v>
      </c>
      <c r="B128" s="5" t="b">
        <v>0</v>
      </c>
      <c r="C128" s="6" t="n"/>
      <c r="D128" s="6" t="n"/>
      <c r="E128" s="5" t="n"/>
      <c r="F128" s="5" t="inlineStr">
        <is>
          <t>How does incomplete training data lead to unreliable predictions in an AI model?</t>
        </is>
      </c>
      <c r="G128" s="5" t="inlineStr">
        <is>
          <t>Datasets often have missing values or incomplete records, due to causes such as sensor malfunctions, data-entry errors or data-collection issues. When a model is trained on incomplete data, it may develop an incomplete or skewed understanding of the underlying patterns, leading to unreliable predictions.</t>
        </is>
      </c>
      <c r="H128" s="5" t="inlineStr">
        <is>
          <t>Incomplete Data: Datasets often have missing values or incomplete records. This can be due to various reasons, such as sensor malfunctions, data-entry errors, or data-collection issues. When a model is trained on incomplete data, it may develop an incomplete or skewed understanding of the underlying patterns, leading to unreliable predictions.</t>
        </is>
      </c>
      <c r="I128" s="5" t="inlineStr">
        <is>
          <t>Introduction to Responsible AI, p. 161</t>
        </is>
      </c>
      <c r="J128" s="5" t="b">
        <v>1</v>
      </c>
      <c r="K128" s="5" t="b">
        <v>0</v>
      </c>
      <c r="L128" s="5" t="inlineStr"/>
      <c r="M128" s="5" t="inlineStr">
        <is>
          <t>explanation</t>
        </is>
      </c>
      <c r="N128" s="5" t="inlineStr">
        <is>
          <t>medium</t>
        </is>
      </c>
      <c r="O128" s="5" t="inlineStr">
        <is>
          <t>general</t>
        </is>
      </c>
      <c r="P128" s="5" t="n">
        <v>5</v>
      </c>
      <c r="Q128" s="5" t="n">
        <v>4</v>
      </c>
      <c r="R128" s="5" t="inlineStr">
        <is>
          <t>Every statement in the answer is directly stated in the evidence, with only trivial rewording. | The question is self-contained and refers to no unseen source or context. | value: It covers a useful data-quality risk in AI, though it is somewhat general.</t>
        </is>
      </c>
      <c r="S128" s="5" t="inlineStr">
        <is>
          <t>Why does training on datasets with missing values or records produce unreliable predictions?</t>
        </is>
      </c>
      <c r="T128" s="5" t="inlineStr">
        <is>
          <t>What is the mechanism by which incomplete data makes a model's predictions unreliable?</t>
        </is>
      </c>
      <c r="U128" s="5" t="inlineStr">
        <is>
          <t>full_v1</t>
        </is>
      </c>
      <c r="V128" s="5" t="inlineStr">
        <is>
          <t>introduction-to-responsible-ai:0065:q2</t>
        </is>
      </c>
    </row>
    <row r="129">
      <c r="A129" s="5" t="n">
        <v>128</v>
      </c>
      <c r="B129" s="5" t="b">
        <v>0</v>
      </c>
      <c r="C129" s="6" t="n"/>
      <c r="D129" s="6" t="n"/>
      <c r="E129" s="5" t="n"/>
      <c r="F129" s="5" t="inlineStr">
        <is>
          <t>In trauma mortality prediction, what does precision for recovery prediction measure?</t>
        </is>
      </c>
      <c r="G129" s="5" t="inlineStr">
        <is>
          <t>Precision for recovery prediction is the proportion of cases predicted as recovery that were indeed recovery cases, TP / (TP + FP). It reflects the model's ability to avoid falsely predicting a fatal outcome when the patient recovers.</t>
        </is>
      </c>
      <c r="H129" s="5" t="inlineStr">
        <is>
          <t>Precision, specifically for recovery prediction, indicates the proportion of cases predicted as recovery that were indeed recovery cases (TP / (TP + FP)). It reflects the model's ability to avoid falsely predicting a fatal outcome when the patient recovers.</t>
        </is>
      </c>
      <c r="I129" s="5" t="inlineStr">
        <is>
          <t>AI and Digital Transformation: Opportunities, Challenges, and Emerging Threats in Technology, Business, and Security, p. 493</t>
        </is>
      </c>
      <c r="J129" s="5" t="b">
        <v>0</v>
      </c>
      <c r="K129" s="5" t="b">
        <v>0</v>
      </c>
      <c r="L129" s="5" t="inlineStr">
        <is>
          <t>low_value(2)</t>
        </is>
      </c>
      <c r="M129" s="5" t="inlineStr">
        <is>
          <t>factual</t>
        </is>
      </c>
      <c r="N129" s="5" t="inlineStr">
        <is>
          <t>easy</t>
        </is>
      </c>
      <c r="O129" s="5" t="inlineStr">
        <is>
          <t>monitoring_improvement</t>
        </is>
      </c>
      <c r="P129" s="5" t="n">
        <v>5</v>
      </c>
      <c r="Q129" s="5" t="n">
        <v>2</v>
      </c>
      <c r="R129" s="5" t="inlineStr">
        <is>
          <t>The answer restates the evidence nearly verbatim, including the formula and the interpretation sentence. | The question names the domain (trauma mortality prediction) and the metric explicitly, with no reference to unseen context. | value: This is a methodological metric definition from a clinical ML study, only tangential to responsible AI in higher education.</t>
        </is>
      </c>
      <c r="S129" s="5" t="inlineStr">
        <is>
          <t>How is precision defined for recovery prediction in a trauma mortality model?</t>
        </is>
      </c>
      <c r="T129" s="5" t="inlineStr">
        <is>
          <t>What proportion does precision capture when a trauma model predicts recovery?</t>
        </is>
      </c>
      <c r="U129" s="5" t="inlineStr">
        <is>
          <t>full_v1</t>
        </is>
      </c>
      <c r="V129" s="5" t="inlineStr">
        <is>
          <t>ai-and-digital-transformation:0286:q4</t>
        </is>
      </c>
    </row>
    <row r="130">
      <c r="A130" s="5" t="n">
        <v>129</v>
      </c>
      <c r="B130" s="5" t="b">
        <v>1</v>
      </c>
      <c r="C130" s="6" t="n"/>
      <c r="D130" s="6" t="n"/>
      <c r="E130" s="5" t="n"/>
      <c r="F130" s="5" t="inlineStr">
        <is>
          <t>What four domains make up the AI-based assessment practices construct of students' experiences with AI-supported assessment?</t>
        </is>
      </c>
      <c r="G130" s="5" t="inlineStr">
        <is>
          <t>AI-Based Assessment Practices were operationalized as a latent construct of students' experiences with AI-supported assessment, grouped into four domains: adaptive testing and quizzing, automated feedback and scoring, AI tutors and analytics dashboards, and personalized learning pathways.</t>
        </is>
      </c>
      <c r="H130" s="5" t="inlineStr">
        <is>
          <t>AI-Based Assessment Practices were operationalized as a first-order latent construct capturing students' experiences with AI-supported assessment processes.</t>
        </is>
      </c>
      <c r="I130" s="5" t="inlineStr">
        <is>
          <t>AI-enabled assessment in higher education: Institutional culture and student meta-skill readiness across university tiers, p. 5</t>
        </is>
      </c>
      <c r="J130" s="5" t="b">
        <v>0</v>
      </c>
      <c r="K130" s="5" t="b">
        <v>0</v>
      </c>
      <c r="L130" s="5" t="inlineStr">
        <is>
          <t>grounding(2);not_standalone(judge);low_value(2)</t>
        </is>
      </c>
      <c r="M130" s="5" t="inlineStr">
        <is>
          <t>definition</t>
        </is>
      </c>
      <c r="N130" s="5" t="inlineStr">
        <is>
          <t>medium</t>
        </is>
      </c>
      <c r="O130" s="5" t="inlineStr">
        <is>
          <t>teaching_learning</t>
        </is>
      </c>
      <c r="P130" s="5" t="n">
        <v>2</v>
      </c>
      <c r="Q130" s="5" t="n">
        <v>2</v>
      </c>
      <c r="R130" s="5" t="inlineStr">
        <is>
          <t>The evidence only says the construct was a first-order latent construct of students' experiences with AI-supported assessment. It never mentions four domains or lists adaptive testing, automated feedback, AI tutors/dashboards, or personalized pathways. | The question presupposes a specific study's operationalized construct without identifying the study, so an outsider cannot know which construct is meant. | value: It concerns how one study operationalized a construct, which is research methodology of narrow value.</t>
        </is>
      </c>
      <c r="S130" s="5" t="inlineStr">
        <is>
          <t>Which four domains are grouped within the latent construct of AI-based assessment practices?</t>
        </is>
      </c>
      <c r="T130" s="5" t="inlineStr">
        <is>
          <t>How are students' experiences with AI-supported assessment divided into domains?</t>
        </is>
      </c>
      <c r="U130" s="5" t="inlineStr">
        <is>
          <t>full_v1</t>
        </is>
      </c>
      <c r="V130" s="5" t="inlineStr">
        <is>
          <t>ai-enabled-assessment-in-higher-education:0007:q3</t>
        </is>
      </c>
    </row>
    <row r="131">
      <c r="A131" s="5" t="n">
        <v>130</v>
      </c>
      <c r="B131" s="5" t="b">
        <v>0</v>
      </c>
      <c r="C131" s="6" t="n"/>
      <c r="D131" s="6" t="n"/>
      <c r="E131" s="5" t="n"/>
      <c r="F131" s="5" t="inlineStr">
        <is>
          <t>Which educational taxonomy is used to align the tools that assess students' cognitive skills when evaluating AI's influence?</t>
        </is>
      </c>
      <c r="G131" s="5" t="inlineStr">
        <is>
          <t>Cognitive skills such as memory, attention, comprehension and reasoning are assessed using tools aligned with Bloom's Taxonomy. This helps evaluate AI's influence on students' problem-solving and comprehension of complex topics.</t>
        </is>
      </c>
      <c r="H131" s="5" t="inlineStr">
        <is>
          <t>Cognitive skills-such as memory, attention, comprehension, and reasoning-are assessed using tools aligned with Bloom's Taxonomy, which helps evaluate AI's influence on students' problem-solving and comprehension of complex topics.</t>
        </is>
      </c>
      <c r="I131" s="5" t="inlineStr">
        <is>
          <t>AI and Security in China’s Higher Education, p. 62</t>
        </is>
      </c>
      <c r="J131" s="5" t="b">
        <v>1</v>
      </c>
      <c r="K131" s="5" t="b">
        <v>0</v>
      </c>
      <c r="L131" s="5" t="inlineStr"/>
      <c r="M131" s="5" t="inlineStr">
        <is>
          <t>factual</t>
        </is>
      </c>
      <c r="N131" s="5" t="inlineStr">
        <is>
          <t>easy</t>
        </is>
      </c>
      <c r="O131" s="5" t="inlineStr">
        <is>
          <t>teaching_learning</t>
        </is>
      </c>
      <c r="P131" s="5" t="n">
        <v>5</v>
      </c>
      <c r="Q131" s="5" t="n">
        <v>3</v>
      </c>
      <c r="R131" s="5" t="inlineStr">
        <is>
          <t>The answer restates the evidence almost verbatim, so every statement is directly supported. | The question is understandable without the source, though it implicitly assumes a particular evaluation setting. | value: This is acceptable but narrow, concerning a methodological detail of a framework.</t>
        </is>
      </c>
      <c r="S131" s="5" t="inlineStr">
        <is>
          <t>What taxonomy underlies the tools used to assess memory, attention, comprehension and reasoning in a framework on AI's influence on students?</t>
        </is>
      </c>
      <c r="T131" s="5" t="inlineStr">
        <is>
          <t>Which taxonomy do the cognitive skills assessment tools align with in a conceptual framework on AI and student learning?</t>
        </is>
      </c>
      <c r="U131" s="5" t="inlineStr">
        <is>
          <t>full_v1</t>
        </is>
      </c>
      <c r="V131" s="5" t="inlineStr">
        <is>
          <t>ai-and-security-in-china-s-higher-education:0031:q3</t>
        </is>
      </c>
    </row>
  </sheetData>
  <autoFilter ref="A1:V131"/>
  <conditionalFormatting sqref="C2:C131">
    <cfRule type="expression" priority="1" dxfId="0">
      <formula>$C2="accept"</formula>
    </cfRule>
    <cfRule type="expression" priority="2" dxfId="1">
      <formula>$C2="reject"</formula>
    </cfRule>
  </conditionalFormatting>
  <conditionalFormatting sqref="A2:B131">
    <cfRule type="expression" priority="3" dxfId="2">
      <formula>$B2=TRUE</formula>
    </cfRule>
  </conditionalFormatting>
  <dataValidations count="2">
    <dataValidation sqref="C2:C131" showDropDown="0" showInputMessage="0" showErrorMessage="0" allowBlank="1" type="list">
      <formula1>"accept,reject"</formula1>
    </dataValidation>
    <dataValidation sqref="D2:D131" showDropDown="0" showInputMessage="0" showErrorMessage="0" allowBlank="1" type="list">
      <formula1>"incorrect,unsupported,not_standalone,low_value,unclear,other"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58" customWidth="1" min="1" max="1"/>
    <col width="16" customWidth="1" min="2" max="2"/>
    <col width="16" customWidth="1" min="3" max="3"/>
  </cols>
  <sheetData>
    <row r="1">
      <c r="A1" s="7" t="inlineStr">
        <is>
          <t>Review progress</t>
        </is>
      </c>
    </row>
    <row r="2">
      <c r="A2" s="8" t="inlineStr">
        <is>
          <t>Rows reviewed</t>
        </is>
      </c>
      <c r="B2" s="9">
        <f>COUNTIF(Review!$C$2:$C$131,"accept")+COUNTIF(Review!$C$2:$C$131,"reject")</f>
        <v/>
      </c>
    </row>
    <row r="3">
      <c r="A3" s="8" t="inlineStr">
        <is>
          <t>Priority rows reviewed (of 40)</t>
        </is>
      </c>
      <c r="B3" s="9">
        <f>COUNTIFS(Review!$B$2:$B$131,TRUE,Review!$C$2:$C$131,"accept")+COUNTIFS(Review!$B$2:$B$131,TRUE,Review!$C$2:$C$131,"reject")</f>
        <v/>
      </c>
    </row>
    <row r="4">
      <c r="A4" s="8" t="inlineStr">
        <is>
          <t>Human accept rate among filter-passed pairs</t>
        </is>
      </c>
      <c r="B4" s="10">
        <f>IFERROR(B8/(B8+C8),"")</f>
        <v/>
      </c>
    </row>
    <row r="6">
      <c r="A6" s="7" t="inlineStr">
        <is>
          <t>You vs automatic filters (reviewed rows)</t>
        </is>
      </c>
    </row>
    <row r="7">
      <c r="B7" s="11" t="inlineStr">
        <is>
          <t>Human accept</t>
        </is>
      </c>
      <c r="C7" s="11" t="inlineStr">
        <is>
          <t>Human reject</t>
        </is>
      </c>
    </row>
    <row r="8">
      <c r="A8" s="8" t="inlineStr">
        <is>
          <t>Filters passed</t>
        </is>
      </c>
      <c r="B8" s="9">
        <f>COUNTIFS(Review!$J$2:$J$131,TRUE,Review!$C$2:$C$131,"accept")</f>
        <v/>
      </c>
      <c r="C8" s="9">
        <f>COUNTIFS(Review!$J$2:$J$131,TRUE,Review!$C$2:$C$131,"reject")</f>
        <v/>
      </c>
    </row>
    <row r="9">
      <c r="A9" s="8" t="inlineStr">
        <is>
          <t>Filters rejected</t>
        </is>
      </c>
      <c r="B9" s="9">
        <f>COUNTIFS(Review!$J$2:$J$131,FALSE,Review!$C$2:$C$131,"accept")</f>
        <v/>
      </c>
      <c r="C9" s="9">
        <f>COUNTIFS(Review!$J$2:$J$131,FALSE,Review!$C$2:$C$131,"reject")</f>
        <v/>
      </c>
    </row>
    <row r="10">
      <c r="A10" s="8" t="inlineStr">
        <is>
          <t>Observed agreement</t>
        </is>
      </c>
      <c r="B10" s="10">
        <f>IFERROR((B8+C9)/(B8+C8+B9+C9),"")</f>
        <v/>
      </c>
    </row>
    <row r="11">
      <c r="A11" s="8" t="inlineStr">
        <is>
          <t>Cohen's kappa</t>
        </is>
      </c>
      <c r="B11" s="12">
        <f>IFERROR(((B8+C9)/(B8+C8+B9+C9)-((B8+C8)*(B8+B9)+(B9+C9)*(C8+C9))/(B8+C8+B9+C9)^2)/(1-((B8+C8)*(B8+B9)+(B9+C9)*(C8+C9))/(B8+C8+B9+C9)^2),"")</f>
        <v/>
      </c>
    </row>
    <row r="13">
      <c r="A13" s="7" t="inlineStr">
        <is>
          <t>Your reject categories</t>
        </is>
      </c>
    </row>
    <row r="14">
      <c r="A14" s="8" t="inlineStr">
        <is>
          <t>incorrect</t>
        </is>
      </c>
      <c r="B14" s="9">
        <f>COUNTIF(Review!$D$2:$D$131,"incorrect")</f>
        <v/>
      </c>
    </row>
    <row r="15">
      <c r="A15" s="8" t="inlineStr">
        <is>
          <t>unsupported</t>
        </is>
      </c>
      <c r="B15" s="9">
        <f>COUNTIF(Review!$D$2:$D$131,"unsupported")</f>
        <v/>
      </c>
    </row>
    <row r="16">
      <c r="A16" s="8" t="inlineStr">
        <is>
          <t>not_standalone</t>
        </is>
      </c>
      <c r="B16" s="9">
        <f>COUNTIF(Review!$D$2:$D$131,"not_standalone")</f>
        <v/>
      </c>
    </row>
    <row r="17">
      <c r="A17" s="8" t="inlineStr">
        <is>
          <t>low_value</t>
        </is>
      </c>
      <c r="B17" s="9">
        <f>COUNTIF(Review!$D$2:$D$131,"low_value")</f>
        <v/>
      </c>
    </row>
    <row r="18">
      <c r="A18" s="8" t="inlineStr">
        <is>
          <t>unclear</t>
        </is>
      </c>
      <c r="B18" s="9">
        <f>COUNTIF(Review!$D$2:$D$131,"unclear")</f>
        <v/>
      </c>
    </row>
    <row r="19">
      <c r="A19" s="8" t="inlineStr">
        <is>
          <t>other</t>
        </is>
      </c>
      <c r="B19" s="9">
        <f>COUNTIF(Review!$D$2:$D$131,"other")</f>
        <v/>
      </c>
    </row>
    <row r="21">
      <c r="A21" s="8" t="inlineStr">
        <is>
          <t>Kappa above ~0.6 = the judge broadly matches your standard. The sample over-represents rejected pairs (30 of 130), so read accept rates per group, not overall.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2026-10-03T16:37:31Z</dcterms:created>
  <dcterms:modified xmlns:dcterms="http://purl.org/dc/terms/" xmlns:xsi="http://www.w3.org/2001/XMLSchema-instance" xsi:type="dcterms:W3CDTF">2026-10-03T16:37:32Z</dcterms:modified>
</cp:coreProperties>
</file>